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df83f2fe994fdd" /></Relationships>
</file>

<file path=xl/workbook.xml><?xml version="1.0" encoding="utf-8"?>
<x:workbook xmlns:x="http://schemas.openxmlformats.org/spreadsheetml/2006/main">
  <x:sheets>
    <x:sheet xmlns:r="http://schemas.openxmlformats.org/officeDocument/2006/relationships" name="00_투자판단" sheetId="1" r:id="R536958ae9c0e4d6c"/>
    <x:sheet xmlns:r="http://schemas.openxmlformats.org/officeDocument/2006/relationships" name="01_가정" sheetId="2" r:id="R2d08cd2ccf3049ca"/>
    <x:sheet xmlns:r="http://schemas.openxmlformats.org/officeDocument/2006/relationships" name="02_단위경제" sheetId="3" r:id="R854a5e4fe3534546"/>
    <x:sheet xmlns:r="http://schemas.openxmlformats.org/officeDocument/2006/relationships" name="03_월별손익" sheetId="4" r:id="R67a27587ddba41aa"/>
    <x:sheet xmlns:r="http://schemas.openxmlformats.org/officeDocument/2006/relationships" name="04_재고현금" sheetId="5" r:id="R55dab9047e814df4"/>
    <x:sheet xmlns:r="http://schemas.openxmlformats.org/officeDocument/2006/relationships" name="05_100일검증" sheetId="6" r:id="Rd161a1e196db465b"/>
    <x:sheet xmlns:r="http://schemas.openxmlformats.org/officeDocument/2006/relationships" name="06_시장경쟁" sheetId="7" r:id="Ra16abefe767b4edb"/>
    <x:sheet xmlns:r="http://schemas.openxmlformats.org/officeDocument/2006/relationships" name="07_근거원문" sheetId="8" r:id="R52b642ad417f46bf"/>
    <x:sheet xmlns:r="http://schemas.openxmlformats.org/officeDocument/2006/relationships" name="08_실측입력" sheetId="9" r:id="Rd3c5ff10a20c4750"/>
    <x:sheet xmlns:r="http://schemas.openxmlformats.org/officeDocument/2006/relationships" name="09_계산검증" sheetId="10" r:id="R94c4f872ce194cf2"/>
    <x:sheet xmlns:r="http://schemas.openxmlformats.org/officeDocument/2006/relationships" name="10_린캔버스작성" sheetId="11" r:id="Rd6bc8f39a8f14661"/>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
    <x:numFmt numFmtId="201" formatCode="yyyy-mm"/>
    <x:numFmt numFmtId="202" formatCode="#,##0;(#,##0);&quot;-&quot;"/>
    <x:numFmt numFmtId="203" formatCode="0.0%;(0.0%);&quot;-&quot;"/>
    <x:numFmt numFmtId="204" formatCode="0.00"/>
    <x:numFmt numFmtId="205" formatCode="@"/>
    <x:numFmt numFmtId="206" formatCode="#,##0.00"/>
    <x:numFmt numFmtId="207" formatCode="#,##0.0;(#,##0.0);–"/>
    <x:numFmt numFmtId="208" formatCode="#,##0;(#,##0);–"/>
    <x:numFmt numFmtId="209" formatCode="0.0%"/>
  </x:numFmts>
  <x:fonts count="23">
    <x:font>
      <x:sz val="11"/>
      <x:name val="Carlito"/>
    </x:font>
    <x:font>
      <x:sz val="10"/>
      <x:color rgb="FF17212B"/>
      <x:name val="Noto Sans CJK KR"/>
    </x:font>
    <x:font>
      <x:b/>
      <x:sz val="16"/>
      <x:color rgb="FF000000"/>
      <x:name val="Noto Sans CJK KR"/>
    </x:font>
    <x:font>
      <x:sz val="10"/>
      <x:color rgb="FF0000FF"/>
      <x:name val="Noto Sans CJK KR"/>
    </x:font>
    <x:font>
      <x:sz val="9"/>
      <x:color rgb="FF17212B"/>
      <x:name val="Noto Sans CJK KR"/>
    </x:font>
    <x:font>
      <x:sz val="10"/>
      <x:color rgb="FF000000"/>
      <x:name val="Noto Sans CJK KR"/>
    </x:font>
    <x:font>
      <x:sz val="10"/>
      <x:color rgb="FFFFFFFF"/>
      <x:name val="Noto Sans CJK KR"/>
    </x:font>
    <x:font>
      <x:b/>
      <x:sz val="10"/>
      <x:color rgb="FFFFFFFF"/>
      <x:name val="Noto Sans CJK KR"/>
    </x:font>
    <x:font>
      <x:b/>
      <x:sz val="10"/>
      <x:color rgb="FF17212B"/>
      <x:name val="Noto Sans CJK KR"/>
    </x:font>
    <x:font>
      <x:b/>
      <x:sz val="10"/>
      <x:color rgb="FF000000"/>
      <x:name val="Noto Sans CJK KR"/>
    </x:font>
    <x:font>
      <x:sz val="10"/>
      <x:color rgb="FF008000"/>
      <x:name val="Noto Sans CJK KR"/>
    </x:font>
    <x:font>
      <x:b/>
      <x:sz val="10"/>
      <x:color rgb="FF008000"/>
      <x:name val="Noto Sans CJK KR"/>
    </x:font>
    <x:font>
      <x:sz val="11"/>
      <x:color rgb="FF17212B"/>
      <x:name val="Carlito"/>
    </x:font>
    <x:font>
      <x:sz val="11"/>
      <x:color rgb="FF253747"/>
      <x:name val="Noto Sans CJK KR"/>
    </x:font>
    <x:font>
      <x:b/>
      <x:sz val="20"/>
      <x:color rgb="FF20374C"/>
      <x:name val="Noto Sans CJK KR"/>
    </x:font>
    <x:font>
      <x:sz val="10"/>
      <x:color rgb="FF617381"/>
      <x:name val="Noto Sans CJK KR"/>
    </x:font>
    <x:font>
      <x:b/>
      <x:sz val="11"/>
      <x:color rgb="FFFFFFFF"/>
      <x:name val="Noto Sans CJK KR"/>
    </x:font>
    <x:font>
      <x:sz val="11"/>
      <x:color rgb="FF16804A"/>
      <x:name val="Noto Sans CJK KR"/>
    </x:font>
    <x:font>
      <x:sz val="9"/>
      <x:color rgb="FF617381"/>
      <x:name val="Noto Sans CJK KR"/>
    </x:font>
    <x:font>
      <x:sz val="11"/>
      <x:color rgb="FF185DA6"/>
      <x:name val="Noto Sans CJK KR"/>
    </x:font>
    <x:font>
      <x:b/>
      <x:sz val="10"/>
      <x:color rgb="FF253747"/>
      <x:name val="Noto Sans CJK KR"/>
    </x:font>
    <x:font>
      <x:sz val="10"/>
      <x:color rgb="FF465568"/>
      <x:name val="Noto Sans CJK KR"/>
    </x:font>
    <x:font>
      <x:sz val="10"/>
      <x:color rgb="FF35465A"/>
      <x:name val="Noto Sans CJK KR"/>
    </x:font>
  </x:fonts>
  <x:fills count="13">
    <x:fill>
      <x:patternFill patternType="none"/>
    </x:fill>
    <x:fill>
      <x:patternFill patternType="gray125"/>
    </x:fill>
    <x:fill>
      <x:patternFill patternType="solid">
        <x:fgColor rgb="FFFFF2CC"/>
      </x:patternFill>
    </x:fill>
    <x:fill>
      <x:patternFill patternType="solid">
        <x:fgColor rgb="FF20364D"/>
      </x:patternFill>
    </x:fill>
    <x:fill>
      <x:patternFill patternType="solid">
        <x:fgColor rgb="FFEAF0F5"/>
      </x:patternFill>
    </x:fill>
    <x:fill>
      <x:patternFill patternType="solid">
        <x:fgColor rgb="FF20374C"/>
      </x:patternFill>
    </x:fill>
    <x:fill>
      <x:patternFill patternType="solid">
        <x:fgColor rgb="FFE8F5F0"/>
      </x:patternFill>
    </x:fill>
    <x:fill>
      <x:patternFill patternType="solid">
        <x:fgColor rgb="FFFFF3CC"/>
      </x:patternFill>
    </x:fill>
    <x:fill>
      <x:patternFill patternType="solid">
        <x:fgColor rgb="FFE7EEF3"/>
      </x:patternFill>
    </x:fill>
    <x:fill>
      <x:patternFill patternType="solid">
        <x:fgColor rgb="FFF0E6C7"/>
      </x:patternFill>
    </x:fill>
    <x:fill>
      <x:patternFill patternType="solid">
        <x:fgColor rgb="FFDDEFEF"/>
      </x:patternFill>
    </x:fill>
    <x:fill>
      <x:patternFill patternType="solid">
        <x:fgColor rgb="FFF0F7F7"/>
      </x:patternFill>
    </x:fill>
    <x:fill>
      <x:patternFill patternType="solid">
        <x:fgColor rgb="FFF1F4F6"/>
      </x:patternFill>
    </x:fill>
  </x:fills>
  <x:borders count="2">
    <x:border/>
    <x:border>
      <x:left style="dotted">
        <x:color rgb="FF667788"/>
      </x:left>
      <x:right style="dotted">
        <x:color rgb="FF667788"/>
      </x:right>
      <x:top style="dotted">
        <x:color rgb="FF667788"/>
      </x:top>
      <x:bottom style="dotted">
        <x:color rgb="FF667788"/>
      </x:bottom>
    </x:border>
  </x:borders>
  <x:cellStyleXfs count="1">
    <x:xf numFmtId="0" fontId="0" fillId="0" borderId="0"/>
  </x:cellStyleXfs>
  <x:cellXfs count="8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3" fillId="2" borderId="1" xfId="0" applyNumberFormat="1" applyFont="1" applyFill="1" applyBorder="1" applyAlignment="1">
      <x:alignment vertical="center"/>
    </x:xf>
    <x:xf numFmtId="200" fontId="3" fillId="2" borderId="1"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201" fontId="3"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7"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9" fillId="4" borderId="0" xfId="0" applyNumberFormat="1" applyFont="1" applyFill="1" applyBorder="1" applyAlignment="1">
      <x:alignment vertical="center"/>
    </x:xf>
    <x:xf numFmtId="202" fontId="9" fillId="4" borderId="0" xfId="0" applyNumberFormat="1" applyFont="1" applyFill="1" applyBorder="1" applyAlignment="1">
      <x:alignment vertical="center"/>
    </x:xf>
    <x:xf numFmtId="202" fontId="3" fillId="2" borderId="0" xfId="0" applyNumberFormat="1" applyFont="1" applyFill="1" applyBorder="1" applyAlignment="1">
      <x:alignment vertical="center"/>
    </x:xf>
    <x:xf numFmtId="203" fontId="9" fillId="4" borderId="0" xfId="0" applyNumberFormat="1" applyFont="1" applyFill="1" applyBorder="1" applyAlignment="1">
      <x:alignment vertical="center"/>
    </x:xf>
    <x:xf numFmtId="203" fontId="3" fillId="2" borderId="0" xfId="0" applyNumberFormat="1" applyFont="1" applyFill="1" applyBorder="1" applyAlignment="1">
      <x:alignment vertical="center"/>
    </x:xf>
    <x:xf numFmtId="202" fontId="5" fillId="2" borderId="0" xfId="0" applyNumberFormat="1" applyFont="1" applyFill="1" applyBorder="1" applyAlignment="1">
      <x:alignment vertical="center"/>
    </x:xf>
    <x:xf numFmtId="202" fontId="5" fillId="4" borderId="0" xfId="0" applyNumberFormat="1" applyFont="1" applyFill="1" applyBorder="1" applyAlignment="1">
      <x:alignment vertical="center"/>
    </x:xf>
    <x:xf numFmtId="202" fontId="10" fillId="2" borderId="0" xfId="0" applyNumberFormat="1" applyFont="1" applyFill="1" applyBorder="1" applyAlignment="1">
      <x:alignment vertical="center"/>
    </x:xf>
    <x:xf numFmtId="202" fontId="10" fillId="4" borderId="0" xfId="0" applyNumberFormat="1" applyFont="1" applyFill="1" applyBorder="1" applyAlignment="1">
      <x:alignment vertical="center"/>
    </x:xf>
    <x:xf numFmtId="0" fontId="10" fillId="0" borderId="0" xfId="0" applyNumberFormat="1" applyFont="1" applyFill="1" applyBorder="1" applyAlignment="1">
      <x:alignment vertical="center"/>
    </x:xf>
    <x:xf numFmtId="0" fontId="10" fillId="0" borderId="1" xfId="0" applyNumberFormat="1" applyFont="1" applyFill="1" applyBorder="1" applyAlignment="1">
      <x:alignment vertical="center"/>
    </x:xf>
    <x:xf numFmtId="202" fontId="10" fillId="0" borderId="0" xfId="0" applyNumberFormat="1" applyFont="1" applyFill="1" applyBorder="1" applyAlignment="1">
      <x:alignment vertical="center"/>
    </x:xf>
    <x:xf numFmtId="203" fontId="10"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3" fontId="5" fillId="0" borderId="0" xfId="0" applyNumberFormat="1" applyFont="1" applyFill="1" applyBorder="1" applyAlignment="1">
      <x:alignment vertical="center"/>
    </x:xf>
    <x:xf numFmtId="204" fontId="10" fillId="0" borderId="0" xfId="0" applyNumberFormat="1" applyFont="1" applyFill="1" applyBorder="1" applyAlignment="1">
      <x:alignment vertical="center"/>
    </x:xf>
    <x:xf numFmtId="204" fontId="5"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202" fontId="9" fillId="0" borderId="0" xfId="0" applyNumberFormat="1" applyFont="1" applyFill="1" applyBorder="1" applyAlignment="1">
      <x:alignment vertical="center"/>
    </x:xf>
    <x:xf numFmtId="201" fontId="10" fillId="0" borderId="0" xfId="0" applyNumberFormat="1" applyFont="1" applyFill="1" applyBorder="1" applyAlignment="1">
      <x:alignment vertical="center"/>
    </x:xf>
    <x:xf numFmtId="201" fontId="10" fillId="3" borderId="0" xfId="0" applyNumberFormat="1" applyFont="1" applyFill="1" applyBorder="1" applyAlignment="1">
      <x:alignment vertical="center"/>
    </x:xf>
    <x:xf numFmtId="201" fontId="6" fillId="3" borderId="0" xfId="0" applyNumberFormat="1" applyFont="1" applyFill="1" applyBorder="1" applyAlignment="1">
      <x:alignment vertical="center"/>
    </x:xf>
    <x:xf numFmtId="202" fontId="11" fillId="4" borderId="0" xfId="0" applyNumberFormat="1" applyFont="1" applyFill="1" applyBorder="1" applyAlignment="1">
      <x:alignment vertical="center"/>
    </x:xf>
    <x:xf numFmtId="202" fontId="1" fillId="0" borderId="0" xfId="0" applyNumberFormat="1" applyFont="1" applyFill="1" applyBorder="1" applyAlignment="1">
      <x:alignment vertical="center"/>
    </x:xf>
    <x:xf numFmtId="205" fontId="3" fillId="2" borderId="0" xfId="0" applyNumberFormat="1" applyFont="1" applyFill="1" applyBorder="1" applyAlignment="1">
      <x:alignment vertical="center"/>
    </x:xf>
    <x:xf numFmtId="205" fontId="3" fillId="2" borderId="0" xfId="0" applyNumberFormat="1" applyFont="1" applyFill="1" applyBorder="1" applyAlignment="1">
      <x:alignment vertical="center" wrapText="1"/>
    </x:xf>
    <x:xf numFmtId="206" fontId="1" fillId="0" borderId="0" xfId="0" applyNumberFormat="1" applyFont="1" applyFill="1" applyBorder="1" applyAlignment="1">
      <x:alignment vertical="center" wrapText="1"/>
    </x:xf>
    <x:xf numFmtId="202" fontId="5" fillId="0" borderId="0" xfId="0" applyNumberFormat="1" applyFont="1" applyFill="1" applyBorder="1" applyAlignment="1">
      <x:alignment vertical="center" wrapText="1"/>
    </x:xf>
    <x:xf numFmtId="0" fontId="12" fillId="0" borderId="0" xfId="0" applyNumberFormat="1" applyFont="1" applyFill="1" applyBorder="1"/>
    <x:xf numFmtId="204" fontId="1" fillId="0" borderId="0" xfId="0" applyNumberFormat="1" applyFont="1" applyFill="1" applyBorder="1" applyAlignment="1">
      <x:alignment vertical="center"/>
    </x:xf>
    <x:xf numFmtId="200" fontId="3" fillId="2" borderId="1" xfId="0" applyNumberFormat="1" applyFont="1" applyFill="1" applyBorder="1" applyAlignment="1">
      <x:alignment horizontal="center" vertical="center"/>
    </x:xf>
    <x:xf numFmtId="0" fontId="10" fillId="0" borderId="1" xfId="0" applyNumberFormat="1" applyFont="1" applyFill="1" applyBorder="1" applyAlignment="1">
      <x:alignment horizontal="center" vertical="center"/>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center" wrapText="1"/>
    </x:xf>
    <x:xf numFmtId="0" fontId="14" fillId="0" borderId="0" xfId="0" applyNumberFormat="1" applyFont="1" applyFill="1" applyBorder="1" applyAlignment="1">
      <x:alignment vertical="center" wrapText="1"/>
    </x:xf>
    <x:xf numFmtId="0" fontId="15" fillId="0" borderId="0" xfId="0" applyNumberFormat="1" applyFont="1" applyFill="1" applyBorder="1" applyAlignment="1">
      <x:alignment vertical="center" wrapText="1"/>
    </x:xf>
    <x:xf numFmtId="0" fontId="13" fillId="5" borderId="0" xfId="0" applyNumberFormat="1" applyFont="1" applyFill="1" applyBorder="1" applyAlignment="1">
      <x:alignment vertical="center" wrapText="1"/>
    </x:xf>
    <x:xf numFmtId="0" fontId="16" fillId="5" borderId="0" xfId="0" applyNumberFormat="1" applyFont="1" applyFill="1" applyBorder="1" applyAlignment="1">
      <x:alignment vertical="center" wrapText="1"/>
    </x:xf>
    <x:xf numFmtId="0" fontId="13" fillId="6" borderId="0" xfId="0" applyNumberFormat="1" applyFont="1" applyFill="1" applyBorder="1" applyAlignment="1">
      <x:alignment vertical="center" wrapText="1"/>
    </x:xf>
    <x:xf numFmtId="0" fontId="17" fillId="6" borderId="0" xfId="0" applyNumberFormat="1" applyFont="1" applyFill="1" applyBorder="1" applyAlignment="1">
      <x:alignment vertical="center" wrapText="1"/>
    </x:xf>
    <x:xf numFmtId="0" fontId="18" fillId="0" borderId="0" xfId="0" applyNumberFormat="1" applyFont="1" applyFill="1" applyBorder="1" applyAlignment="1">
      <x:alignment vertical="center" wrapText="1"/>
    </x:xf>
    <x:xf numFmtId="0" fontId="13" fillId="7" borderId="0" xfId="0" applyNumberFormat="1" applyFont="1" applyFill="1" applyBorder="1" applyAlignment="1">
      <x:alignment vertical="center" wrapText="1"/>
    </x:xf>
    <x:xf numFmtId="0" fontId="19" fillId="7" borderId="0" xfId="0" applyNumberFormat="1" applyFont="1" applyFill="1" applyBorder="1" applyAlignment="1">
      <x:alignment vertical="center" wrapText="1"/>
    </x:xf>
    <x:xf numFmtId="0" fontId="13" fillId="8" borderId="0" xfId="0" applyNumberFormat="1" applyFont="1" applyFill="1" applyBorder="1" applyAlignment="1">
      <x:alignment vertical="center" wrapText="1"/>
    </x:xf>
    <x:xf numFmtId="0" fontId="17" fillId="0" borderId="0" xfId="0" applyNumberFormat="1" applyFont="1" applyFill="1" applyBorder="1" applyAlignment="1">
      <x:alignment vertical="center" wrapText="1"/>
    </x:xf>
    <x:xf numFmtId="207" fontId="17" fillId="0" borderId="0" xfId="0" applyNumberFormat="1" applyFont="1" applyFill="1" applyBorder="1" applyAlignment="1">
      <x:alignment vertical="center" wrapText="1"/>
    </x:xf>
    <x:xf numFmtId="207" fontId="17" fillId="0" borderId="0" xfId="0" applyNumberFormat="1" applyFont="1" applyFill="1" applyBorder="1" applyAlignment="1">
      <x:alignment horizontal="right" vertical="center" wrapText="1"/>
    </x:xf>
    <x:xf numFmtId="207" fontId="17" fillId="6" borderId="0" xfId="0" applyNumberFormat="1" applyFont="1" applyFill="1" applyBorder="1" applyAlignment="1">
      <x:alignment vertical="center" wrapText="1"/>
    </x:xf>
    <x:xf numFmtId="207" fontId="17" fillId="6" borderId="0" xfId="0" applyNumberFormat="1" applyFont="1" applyFill="1" applyBorder="1" applyAlignment="1">
      <x:alignment horizontal="right" vertical="center" wrapText="1"/>
    </x:xf>
    <x:xf numFmtId="208" fontId="17" fillId="0" borderId="0" xfId="0" applyNumberFormat="1" applyFont="1" applyFill="1" applyBorder="1" applyAlignment="1">
      <x:alignment vertical="center" wrapText="1"/>
    </x:xf>
    <x:xf numFmtId="208" fontId="17" fillId="0" borderId="0" xfId="0" applyNumberFormat="1" applyFont="1" applyFill="1" applyBorder="1" applyAlignment="1">
      <x:alignment horizontal="right" vertical="center" wrapText="1"/>
    </x:xf>
    <x:xf numFmtId="0" fontId="13" fillId="9" borderId="0" xfId="0" applyNumberFormat="1" applyFont="1" applyFill="1" applyBorder="1" applyAlignment="1">
      <x:alignment vertical="center" wrapText="1"/>
    </x:xf>
    <x:xf numFmtId="0" fontId="20" fillId="9" borderId="0" xfId="0" applyNumberFormat="1" applyFont="1" applyFill="1" applyBorder="1" applyAlignment="1">
      <x:alignment vertical="center" wrapText="1"/>
    </x:xf>
    <x:xf numFmtId="0" fontId="13" fillId="10" borderId="0" xfId="0" applyNumberFormat="1" applyFont="1" applyFill="1" applyBorder="1" applyAlignment="1">
      <x:alignment vertical="center" wrapText="1"/>
    </x:xf>
    <x:xf numFmtId="0" fontId="20" fillId="10" borderId="0" xfId="0" applyNumberFormat="1" applyFont="1" applyFill="1" applyBorder="1" applyAlignment="1">
      <x:alignment vertical="center" wrapText="1"/>
    </x:xf>
    <x:xf numFmtId="0" fontId="19" fillId="7" borderId="0" xfId="0" applyNumberFormat="1" applyFont="1" applyFill="1" applyBorder="1" applyAlignment="1">
      <x:alignment vertical="top" wrapText="1"/>
    </x:xf>
    <x:xf numFmtId="0" fontId="13" fillId="11" borderId="0" xfId="0" applyNumberFormat="1" applyFont="1" applyFill="1" applyBorder="1" applyAlignment="1">
      <x:alignment vertical="center" wrapText="1"/>
    </x:xf>
    <x:xf numFmtId="0" fontId="13" fillId="11" borderId="0" xfId="0" applyNumberFormat="1" applyFont="1" applyFill="1" applyBorder="1" applyAlignment="1">
      <x:alignment vertical="top" wrapText="1"/>
    </x:xf>
    <x:xf numFmtId="0" fontId="17" fillId="11" borderId="0" xfId="0" applyNumberFormat="1" applyFont="1" applyFill="1" applyBorder="1" applyAlignment="1">
      <x:alignment vertical="center" wrapText="1"/>
    </x:xf>
    <x:xf numFmtId="0" fontId="17" fillId="11" borderId="0" xfId="0" applyNumberFormat="1" applyFont="1" applyFill="1" applyBorder="1" applyAlignment="1">
      <x:alignment vertical="top" wrapText="1"/>
    </x:xf>
    <x:xf numFmtId="0" fontId="13" fillId="12" borderId="0" xfId="0" applyNumberFormat="1" applyFont="1" applyFill="1" applyBorder="1" applyAlignment="1">
      <x:alignment vertical="center" wrapText="1"/>
    </x:xf>
    <x:xf numFmtId="0" fontId="21" fillId="0" borderId="0" xfId="0" applyNumberFormat="1" applyFont="1" applyFill="1" applyBorder="1" applyAlignment="1">
      <x:alignment vertical="center" wrapText="1"/>
    </x:xf>
    <x:xf numFmtId="0" fontId="22" fillId="0" borderId="0" xfId="0" applyNumberFormat="1" applyFont="1" applyFill="1" applyBorder="1" applyAlignment="1">
      <x:alignment vertical="center" wrapText="1"/>
    </x:xf>
    <x:xf numFmtId="200" fontId="3" fillId="2" borderId="0" xfId="0" applyNumberFormat="1" applyFont="1" applyFill="1" applyBorder="1" applyAlignment="1">
      <x:alignment vertical="center"/>
    </x:xf>
    <x:xf numFmtId="209" fontId="3" fillId="2" borderId="0" xfId="0" applyNumberFormat="1" applyFont="1" applyFill="1" applyBorder="1" applyAlignment="1">
      <x:alignment vertical="center"/>
    </x:xf>
  </x:cellXfs>
  <x:cellStyles count="1">
    <x:cellStyle name="Normal" xfId="0"/>
  </x:cellStyles>
  <x:dxfs count="3">
    <x:dxf>
      <x:font>
        <x:color rgb="FFB42318"/>
      </x:font>
    </x:dxf>
    <x:dxf>
      <x:font>
        <x:b/>
        <x:color rgb="FFB42318"/>
      </x:font>
      <x:fill>
        <x:patternFill>
          <x:bgColor rgb="FFFDE9E7"/>
        </x:patternFill>
      </x:fill>
    </x:dxf>
    <x:dxf>
      <x:font>
        <x:b/>
        <x:color rgb="FFB42318"/>
      </x:font>
      <x:fill>
        <x:patternFill>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8cd4694d9c41b7" /><Relationship Type="http://schemas.openxmlformats.org/officeDocument/2006/relationships/theme" Target="/xl/theme/theme1.xml" Id="Rb4d5ca9b242640e0" /><Relationship Type="http://schemas.openxmlformats.org/officeDocument/2006/relationships/sharedStrings" Target="/xl/sharedStrings.xml" Id="R78c6c57e3e574239" /><Relationship Type="http://schemas.openxmlformats.org/officeDocument/2006/relationships/worksheet" Target="/xl/worksheets/sheet1.xml" Id="R536958ae9c0e4d6c" /><Relationship Type="http://schemas.openxmlformats.org/officeDocument/2006/relationships/worksheet" Target="/xl/worksheets/sheet2.xml" Id="R2d08cd2ccf3049ca" /><Relationship Type="http://schemas.openxmlformats.org/officeDocument/2006/relationships/worksheet" Target="/xl/worksheets/sheet3.xml" Id="R854a5e4fe3534546" /><Relationship Type="http://schemas.openxmlformats.org/officeDocument/2006/relationships/worksheet" Target="/xl/worksheets/sheet4.xml" Id="R67a27587ddba41aa" /><Relationship Type="http://schemas.openxmlformats.org/officeDocument/2006/relationships/worksheet" Target="/xl/worksheets/sheet5.xml" Id="R55dab9047e814df4" /><Relationship Type="http://schemas.openxmlformats.org/officeDocument/2006/relationships/worksheet" Target="/xl/worksheets/sheet6.xml" Id="Rd161a1e196db465b" /><Relationship Type="http://schemas.openxmlformats.org/officeDocument/2006/relationships/worksheet" Target="/xl/worksheets/sheet7.xml" Id="Ra16abefe767b4edb" /><Relationship Type="http://schemas.openxmlformats.org/officeDocument/2006/relationships/worksheet" Target="/xl/worksheets/sheet8.xml" Id="R52b642ad417f46bf" /><Relationship Type="http://schemas.openxmlformats.org/officeDocument/2006/relationships/worksheet" Target="/xl/worksheets/sheet9.xml" Id="Rd3c5ff10a20c4750" /><Relationship Type="http://schemas.openxmlformats.org/officeDocument/2006/relationships/worksheet" Target="/xl/worksheets/sheet10.xml" Id="R94c4f872ce194cf2" /><Relationship Type="http://schemas.openxmlformats.org/officeDocument/2006/relationships/worksheet" Target="/xl/worksheets/sheet11.xml" Id="Rd6bc8f39a8f14661" /></Relationships>
</file>

<file path=xl/drawings/_rels/drawing1.xml.rels>&#65279;<?xml version="1.0" encoding="utf-8"?><Relationships xmlns="http://schemas.openxmlformats.org/package/2006/relationships"><Relationship Type="http://schemas.openxmlformats.org/officeDocument/2006/relationships/chart" Target="/xl/drawings/charts/chart1.xml" Id="R9065f36e952c40d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KR"/>
                <a:ea typeface="Noto Sans CJK KR"/>
                <a:cs typeface="Noto Sans CJK KR"/>
              </a:rPr>
              <a:t>순매출과 영업이익</a:t>
            </a:r>
          </a:p>
        </c:rich>
      </c:tx>
      <c:overlay val="0"/>
      <c:txPr>
        <a:bodyPr xmlns:a="http://schemas.openxmlformats.org/drawingml/2006/main" anchorCtr="1"/>
        <a:lstStyle xmlns:a="http://schemas.openxmlformats.org/drawingml/2006/main"/>
        <a:p xmlns:a="http://schemas.openxmlformats.org/drawingml/2006/main">
          <a:pPr>
            <a:defRPr sz="975">
              <a:latin typeface="Noto Sans CJK KR"/>
              <a:ea typeface="Noto Sans CJK KR"/>
              <a:cs typeface="Noto Sans CJK KR"/>
            </a:defRPr>
          </a:pPr>
        </a:p>
      </c:txPr>
    </c:title>
    <c:plotArea>
      <c:barChart>
        <c:barDir val="col"/>
        <c:varyColors val="0"/>
        <c:ser>
          <c:idx val="0"/>
          <c:order val="0"/>
          <c:tx>
            <c:v>순매출 백만원</c:v>
          </c:tx>
          <c:cat>
            <c:strRef>
              <c:f>'00_투자판단'!$J$45:$J$47</c:f>
              <c:strCache>
                <c:ptCount val="0"/>
              </c:strCache>
            </c:strRef>
          </c:cat>
          <c:val>
            <c:numRef>
              <c:f>'00_투자판단'!$K$45:$K$47</c:f>
              <c:numCache>
                <c:formatCode>#,##0</c:formatCode>
                <c:ptCount val="0"/>
              </c:numCache>
            </c:numRef>
          </c:val>
        </c:ser>
        <c:ser>
          <c:idx val="1"/>
          <c:order val="1"/>
          <c:tx>
            <c:v>영업이익 백만원</c:v>
          </c:tx>
          <c:cat>
            <c:strRef>
              <c:f>'00_투자판단'!$J$45:$J$47</c:f>
              <c:strCache>
                <c:ptCount val="0"/>
              </c:strCache>
            </c:strRef>
          </c:cat>
          <c:val>
            <c:numRef>
              <c:f>'00_투자판단'!$L$45:$L$47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KR"/>
                <a:ea typeface="Noto Sans CJK KR"/>
                <a:cs typeface="Noto Sans CJK KR"/>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백만원</a:t>
                </a:r>
              </a:p>
            </c:rich>
          </c:tx>
          <c:overlay val="0"/>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KR"/>
                <a:ea typeface="Noto Sans CJK KR"/>
                <a:cs typeface="Noto Sans CJK KR"/>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Noto Sans CJK KR"/>
              <a:ea typeface="Noto Sans CJK KR"/>
              <a:cs typeface="Noto Sans CJK KR"/>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7</xdr:row>
      <xdr:rowOff>0</xdr:rowOff>
    </xdr:from>
    <xdr:to>
      <xdr:col>17</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65f36e952c40d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135079015df4258" /></Relationships>
</file>

<file path=xl/worksheets/sheet1.xml><?xml version="1.0" encoding="utf-8"?>
<x:worksheet xmlns:x="http://schemas.openxmlformats.org/spreadsheetml/2006/main">
  <x:sheetPr>
    <x:tabColor rgb="FF20364D"/>
  </x:sheetPr>
  <x:sheetViews>
    <x:sheetView showGridLines="0" workbookViewId="0"/>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17" hidden="0" customWidth="1"/>
    <x:col min="8" max="8" width="17" hidden="0" customWidth="1"/>
    <x:col min="9" max="9" width="3"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23" customHeight="1">
      <x:c r="A1" s="2"/>
      <x:c r="B1" s="2"/>
      <x:c r="C1" s="2"/>
      <x:c r="D1" s="2"/>
      <x:c r="E1" s="2"/>
      <x:c r="F1" s="2"/>
      <x:c r="G1" s="2"/>
      <x:c r="H1" s="2"/>
      <x:c r="I1" s="2"/>
      <x:c r="J1" s="2"/>
      <x:c r="K1" s="2"/>
      <x:c r="L1" s="2"/>
      <x:c r="M1" s="2"/>
      <x:c r="N1" s="2"/>
      <x:c r="O1" s="2"/>
      <x:c r="P1" s="2"/>
    </x:row>
    <x:row r="2" ht="35" customHeight="1">
      <x:c r="A2" s="2"/>
      <x:c r="B2" s="2"/>
      <x:c r="C2" s="3" t="str">
        <x:v>그날의 류 투자 검토 요약</x:v>
      </x:c>
      <x:c r="D2" s="2"/>
      <x:c r="E2" s="2"/>
      <x:c r="F2" s="2"/>
      <x:c r="G2" s="2"/>
      <x:c r="H2" s="2"/>
      <x:c r="I2" s="2"/>
      <x:c r="J2" s="2"/>
      <x:c r="K2" s="2"/>
      <x:c r="L2" s="2"/>
      <x:c r="M2" s="2"/>
      <x:c r="N2" s="2"/>
      <x:c r="O2" s="2"/>
      <x:c r="P2" s="2"/>
    </x:row>
    <x:row r="3" ht="23" customHeight="1">
      <x:c r="A3" s="2"/>
      <x:c r="B3" s="2"/>
      <x:c r="C3" s="2"/>
      <x:c r="D3" s="2"/>
      <x:c r="E3" s="2"/>
      <x:c r="F3" s="2"/>
      <x:c r="G3" s="2"/>
      <x:c r="H3" s="2"/>
      <x:c r="I3" s="2"/>
      <x:c r="J3" s="2"/>
      <x:c r="K3" s="2"/>
      <x:c r="L3" s="2"/>
      <x:c r="M3" s="2"/>
      <x:c r="N3" s="2"/>
      <x:c r="O3" s="2"/>
      <x:c r="P3" s="2"/>
    </x:row>
    <x:row r="4" ht="23" customHeight="1">
      <x:c r="A4" s="2"/>
      <x:c r="B4" s="2"/>
      <x:c r="C4" s="2" t="str">
        <x:v>선택 시나리오</x:v>
      </x:c>
      <x:c r="D4" s="2"/>
      <x:c r="E4" s="2"/>
      <x:c r="F4" s="30" t="str">
        <x:f>'01_가정'!H4</x:f>
        <x:v>기준</x:v>
      </x:c>
      <x:c r="G4" s="2"/>
      <x:c r="H4" s="2"/>
      <x:c r="I4" s="2"/>
      <x:c r="J4" s="2"/>
      <x:c r="K4" s="2"/>
      <x:c r="L4" s="2"/>
      <x:c r="M4" s="2"/>
      <x:c r="N4" s="2"/>
      <x:c r="O4" s="2"/>
      <x:c r="P4" s="2"/>
    </x:row>
    <x:row r="5" ht="36" customHeight="1">
      <x:c r="A5" s="2"/>
      <x:c r="B5" s="2"/>
      <x:c r="C5" s="13" t="str">
        <x:v>현재 판단은 조건부 검증 투자입니다. 본 제품의 생리주기 개선 효과, 양산 견적, 실매출은 아직 입증되지 않았습니다. 100일 검증 결과에 따라 후속 집행을 결정합니다.</x:v>
      </x:c>
      <x:c r="D5" s="13"/>
      <x:c r="E5" s="13"/>
      <x:c r="F5" s="13"/>
      <x:c r="G5" s="13"/>
      <x:c r="H5" s="13"/>
      <x:c r="I5" s="13"/>
      <x:c r="J5" s="13"/>
      <x:c r="K5" s="13"/>
      <x:c r="L5" s="13"/>
      <x:c r="M5" s="13"/>
      <x:c r="N5" s="13"/>
      <x:c r="O5" s="13"/>
      <x:c r="P5" s="13"/>
    </x:row>
    <x:row r="6" ht="23" customHeight="1">
      <x:c r="A6" s="2"/>
      <x:c r="B6" s="2"/>
      <x:c r="C6" s="2"/>
      <x:c r="D6" s="2"/>
      <x:c r="E6" s="2"/>
      <x:c r="F6" s="2"/>
      <x:c r="G6" s="2"/>
      <x:c r="H6" s="2"/>
      <x:c r="I6" s="2"/>
      <x:c r="J6" s="2"/>
      <x:c r="K6" s="2"/>
      <x:c r="L6" s="2"/>
      <x:c r="M6" s="2"/>
      <x:c r="N6" s="2"/>
      <x:c r="O6" s="2"/>
      <x:c r="P6" s="2"/>
    </x:row>
    <x:row r="7" ht="23" customHeight="1">
      <x:c r="A7" s="2"/>
      <x:c r="B7" s="2"/>
      <x:c r="C7" s="2"/>
      <x:c r="D7" s="2"/>
      <x:c r="E7" s="2"/>
      <x:c r="F7" s="2"/>
      <x:c r="G7" s="2"/>
      <x:c r="H7" s="2"/>
      <x:c r="I7" s="2"/>
      <x:c r="J7" s="2"/>
      <x:c r="K7" s="2"/>
      <x:c r="L7" s="2"/>
      <x:c r="M7" s="2"/>
      <x:c r="N7" s="2"/>
      <x:c r="O7" s="2"/>
      <x:c r="P7" s="2"/>
    </x:row>
    <x:row r="8" ht="30" customHeight="1">
      <x:c r="A8" s="2"/>
      <x:c r="B8" s="2"/>
      <x:c r="C8" s="17" t="str">
        <x:v>주요 결과</x:v>
      </x:c>
      <x:c r="D8" s="17" t="str">
        <x:v>단위</x:v>
      </x:c>
      <x:c r="E8" s="17" t="str"/>
      <x:c r="F8" s="17" t="str">
        <x:v>1년차</x:v>
      </x:c>
      <x:c r="G8" s="17" t="str">
        <x:v>2년차</x:v>
      </x:c>
      <x:c r="H8" s="17" t="str">
        <x:v>3년차</x:v>
      </x:c>
      <x:c r="I8" s="2"/>
      <x:c r="J8" s="2"/>
      <x:c r="K8" s="2"/>
      <x:c r="L8" s="2"/>
      <x:c r="M8" s="2"/>
      <x:c r="N8" s="2"/>
      <x:c r="O8" s="2"/>
      <x:c r="P8" s="2"/>
    </x:row>
    <x:row r="9" ht="23" customHeight="1">
      <x:c r="A9" s="2"/>
      <x:c r="B9" s="2"/>
      <x:c r="C9" s="2" t="str">
        <x:v>본체 출고</x:v>
      </x:c>
      <x:c r="D9" s="2" t="str">
        <x:v>개</x:v>
      </x:c>
      <x:c r="E9" s="2"/>
      <x:c r="F9" s="43" t="n">
        <x:f>'03_월별손익'!F19</x:f>
        <x:v>418</x:v>
      </x:c>
      <x:c r="G9" s="43" t="n">
        <x:f>'03_월별손익'!G19</x:f>
        <x:v>3780</x:v>
      </x:c>
      <x:c r="H9" s="43" t="n">
        <x:f>'03_월별손익'!H19</x:f>
        <x:v>8820</x:v>
      </x:c>
      <x:c r="I9" s="2"/>
      <x:c r="J9" s="2"/>
      <x:c r="K9" s="2"/>
      <x:c r="L9" s="2"/>
      <x:c r="M9" s="2"/>
      <x:c r="N9" s="2"/>
      <x:c r="O9" s="2"/>
      <x:c r="P9" s="2"/>
    </x:row>
    <x:row r="10" ht="23" customHeight="1">
      <x:c r="A10" s="2"/>
      <x:c r="B10" s="2"/>
      <x:c r="C10" s="2" t="str">
        <x:v>총 순매출</x:v>
      </x:c>
      <x:c r="D10" s="2" t="str">
        <x:v>원</x:v>
      </x:c>
      <x:c r="E10" s="2"/>
      <x:c r="F10" s="43" t="n">
        <x:f>'03_월별손익'!F33</x:f>
        <x:v>54235221.9180309</x:v>
      </x:c>
      <x:c r="G10" s="43" t="n">
        <x:f>'03_월별손익'!G33</x:f>
        <x:v>533124012.07978827</x:v>
      </x:c>
      <x:c r="H10" s="43" t="n">
        <x:f>'03_월별손익'!H33</x:f>
        <x:v>1328298271.1318338</x:v>
      </x:c>
      <x:c r="I10" s="2"/>
      <x:c r="J10" s="2"/>
      <x:c r="K10" s="2"/>
      <x:c r="L10" s="2"/>
      <x:c r="M10" s="2"/>
      <x:c r="N10" s="2"/>
      <x:c r="O10" s="2"/>
      <x:c r="P10" s="2"/>
    </x:row>
    <x:row r="11" ht="23" customHeight="1">
      <x:c r="A11" s="2"/>
      <x:c r="B11" s="2"/>
      <x:c r="C11" s="2" t="str">
        <x:v>리필 순매출</x:v>
      </x:c>
      <x:c r="D11" s="2" t="str">
        <x:v>원</x:v>
      </x:c>
      <x:c r="E11" s="2"/>
      <x:c r="F11" s="43" t="n">
        <x:f>'03_월별손익'!F32</x:f>
        <x:v>2144821.918030909</x:v>
      </x:c>
      <x:c r="G11" s="43" t="n">
        <x:f>'03_월별손익'!G32</x:f>
        <x:v>56947102.988879144</x:v>
      </x:c>
      <x:c r="H11" s="43" t="n">
        <x:f>'03_월별손익'!H32</x:f>
        <x:v>205271725.67728844</x:v>
      </x:c>
      <x:c r="I11" s="2"/>
      <x:c r="J11" s="2"/>
      <x:c r="K11" s="2"/>
      <x:c r="L11" s="2"/>
      <x:c r="M11" s="2"/>
      <x:c r="N11" s="2"/>
      <x:c r="O11" s="2"/>
      <x:c r="P11" s="2"/>
    </x:row>
    <x:row r="12" ht="23" customHeight="1">
      <x:c r="A12" s="2"/>
      <x:c r="B12" s="2"/>
      <x:c r="C12" s="2" t="str">
        <x:v>광고 후 공헌이익</x:v>
      </x:c>
      <x:c r="D12" s="2" t="str">
        <x:v>원</x:v>
      </x:c>
      <x:c r="E12" s="2"/>
      <x:c r="F12" s="43" t="n">
        <x:f>'03_월별손익'!F48</x:f>
        <x:v>14384366.880995886</x:v>
      </x:c>
      <x:c r="G12" s="43" t="n">
        <x:f>'03_월별손익'!G48</x:f>
        <x:v>192369565.43061307</x:v>
      </x:c>
      <x:c r="H12" s="43" t="n">
        <x:f>'03_월별손익'!H48</x:f>
        <x:v>554899776.4482031</x:v>
      </x:c>
      <x:c r="I12" s="2"/>
      <x:c r="J12" s="2"/>
      <x:c r="K12" s="2"/>
      <x:c r="L12" s="2"/>
      <x:c r="M12" s="2"/>
      <x:c r="N12" s="2"/>
      <x:c r="O12" s="2"/>
      <x:c r="P12" s="2"/>
    </x:row>
    <x:row r="13" ht="23" customHeight="1">
      <x:c r="A13" s="2"/>
      <x:c r="B13" s="2"/>
      <x:c r="C13" s="2" t="str">
        <x:v>경제적 인건비</x:v>
      </x:c>
      <x:c r="D13" s="2" t="str">
        <x:v>원</x:v>
      </x:c>
      <x:c r="E13" s="2"/>
      <x:c r="F13" s="43" t="n">
        <x:f>'03_월별손익'!F49</x:f>
        <x:v>162000000</x:v>
      </x:c>
      <x:c r="G13" s="43" t="n">
        <x:f>'03_월별손익'!G49</x:f>
        <x:v>169200000</x:v>
      </x:c>
      <x:c r="H13" s="43" t="n">
        <x:f>'03_월별손익'!H49</x:f>
        <x:v>240000000</x:v>
      </x:c>
      <x:c r="I13" s="2"/>
      <x:c r="J13" s="2"/>
      <x:c r="K13" s="2"/>
      <x:c r="L13" s="2"/>
      <x:c r="M13" s="2"/>
      <x:c r="N13" s="2"/>
      <x:c r="O13" s="2"/>
      <x:c r="P13" s="2"/>
    </x:row>
    <x:row r="14" ht="23" customHeight="1">
      <x:c r="A14" s="2"/>
      <x:c r="B14" s="2"/>
      <x:c r="C14" s="2" t="str">
        <x:v>EBITDA</x:v>
      </x:c>
      <x:c r="D14" s="2" t="str">
        <x:v>원</x:v>
      </x:c>
      <x:c r="E14" s="2"/>
      <x:c r="F14" s="43" t="n">
        <x:f>'03_월별손익'!F52</x:f>
        <x:v>-226615633.1190041</x:v>
      </x:c>
      <x:c r="G14" s="43" t="n">
        <x:f>'03_월별손익'!G52</x:f>
        <x:v>-30830434.56938693</x:v>
      </x:c>
      <x:c r="H14" s="43" t="n">
        <x:f>'03_월별손익'!H52</x:f>
        <x:v>248899776.4482031</x:v>
      </x:c>
      <x:c r="I14" s="2"/>
      <x:c r="J14" s="2"/>
      <x:c r="K14" s="2"/>
      <x:c r="L14" s="2"/>
      <x:c r="M14" s="2"/>
      <x:c r="N14" s="2"/>
      <x:c r="O14" s="2"/>
      <x:c r="P14" s="2"/>
    </x:row>
    <x:row r="15" ht="23" customHeight="1">
      <x:c r="A15" s="2"/>
      <x:c r="B15" s="2"/>
      <x:c r="C15" s="2" t="str">
        <x:v>영업이익</x:v>
      </x:c>
      <x:c r="D15" s="2" t="str">
        <x:v>원</x:v>
      </x:c>
      <x:c r="E15" s="2"/>
      <x:c r="F15" s="43" t="n">
        <x:f>'03_월별손익'!F54</x:f>
        <x:v>-232171188.67455968</x:v>
      </x:c>
      <x:c r="G15" s="43" t="n">
        <x:f>'03_월별손익'!G54</x:f>
        <x:v>-39163767.902720265</x:v>
      </x:c>
      <x:c r="H15" s="43" t="n">
        <x:f>'03_월별손익'!H54</x:f>
        <x:v>240566443.11486977</x:v>
      </x:c>
      <x:c r="I15" s="2"/>
      <x:c r="J15" s="2"/>
      <x:c r="K15" s="2"/>
      <x:c r="L15" s="2"/>
      <x:c r="M15" s="2"/>
      <x:c r="N15" s="2"/>
      <x:c r="O15" s="2"/>
      <x:c r="P15" s="2"/>
    </x:row>
    <x:row r="16" ht="23" customHeight="1">
      <x:c r="A16" s="2"/>
      <x:c r="B16" s="2"/>
      <x:c r="C16" s="2" t="str">
        <x:v>기말 현금</x:v>
      </x:c>
      <x:c r="D16" s="2" t="str">
        <x:v>원</x:v>
      </x:c>
      <x:c r="E16" s="2"/>
      <x:c r="F16" s="43" t="n">
        <x:f>'04_재고현금'!F43</x:f>
        <x:v>3661803.5690954626</x:v>
      </x:c>
      <x:c r="G16" s="43" t="n">
        <x:f>'04_재고현금'!G43</x:f>
        <x:v>-47313091.528711565</x:v>
      </x:c>
      <x:c r="H16" s="43" t="n">
        <x:f>'04_재고현금'!H43</x:f>
        <x:v>271596453.34205425</x:v>
      </x:c>
      <x:c r="I16" s="2"/>
      <x:c r="J16" s="2"/>
      <x:c r="K16" s="2"/>
      <x:c r="L16" s="2"/>
      <x:c r="M16" s="2"/>
      <x:c r="N16" s="2"/>
      <x:c r="O16" s="2"/>
      <x:c r="P16" s="2"/>
    </x:row>
    <x:row r="17" ht="23" customHeight="1">
      <x:c r="A17" s="2"/>
      <x:c r="B17" s="2"/>
      <x:c r="C17" s="2" t="str">
        <x:v>연중 최대 추가자금 필요</x:v>
      </x:c>
      <x:c r="D17" s="2" t="str">
        <x:v>원</x:v>
      </x:c>
      <x:c r="E17" s="2"/>
      <x:c r="F17" s="43" t="n">
        <x:f>'04_재고현금'!F44</x:f>
        <x:v>26338196.430904537</x:v>
      </x:c>
      <x:c r="G17" s="43" t="n">
        <x:f>'04_재고현금'!G44</x:f>
        <x:v>94598214.32841238</x:v>
      </x:c>
      <x:c r="H17" s="43" t="n">
        <x:f>'04_재고현금'!H44</x:f>
        <x:v>78003219.85390577</x:v>
      </x:c>
      <x:c r="I17" s="2"/>
      <x:c r="J17" s="2"/>
      <x:c r="K17" s="2"/>
      <x:c r="L17" s="2"/>
      <x:c r="M17" s="2"/>
      <x:c r="N17" s="2"/>
      <x:c r="O17" s="2"/>
      <x:c r="P17" s="2"/>
    </x:row>
    <x:row r="18" ht="23" customHeight="1">
      <x:c r="A18" s="2"/>
      <x:c r="B18" s="2"/>
      <x:c r="C18" s="2"/>
      <x:c r="D18" s="2"/>
      <x:c r="E18" s="2"/>
      <x:c r="F18" s="2"/>
      <x:c r="G18" s="2"/>
      <x:c r="H18" s="2"/>
      <x:c r="I18" s="2"/>
      <x:c r="J18" s="2"/>
      <x:c r="K18" s="2"/>
      <x:c r="L18" s="2"/>
      <x:c r="M18" s="2"/>
      <x:c r="N18" s="2"/>
      <x:c r="O18" s="2"/>
      <x:c r="P18" s="2"/>
    </x:row>
    <x:row r="19" ht="23" customHeight="1">
      <x:c r="A19" s="2"/>
      <x:c r="B19" s="2"/>
      <x:c r="C19" s="2"/>
      <x:c r="D19" s="2"/>
      <x:c r="E19" s="2"/>
      <x:c r="F19" s="2"/>
      <x:c r="G19" s="2"/>
      <x:c r="H19" s="2"/>
      <x:c r="I19" s="2"/>
      <x:c r="J19" s="2"/>
      <x:c r="K19" s="2"/>
      <x:c r="L19" s="2"/>
      <x:c r="M19" s="2"/>
      <x:c r="N19" s="2"/>
      <x:c r="O19" s="2"/>
      <x:c r="P19" s="2"/>
    </x:row>
    <x:row r="20" ht="23" customHeight="1">
      <x:c r="A20" s="2"/>
      <x:c r="B20" s="2"/>
      <x:c r="C20" s="2" t="str">
        <x:v>출시 첫해 본체 유료 CAC</x:v>
      </x:c>
      <x:c r="D20" s="2" t="str">
        <x:v>원</x:v>
      </x:c>
      <x:c r="E20" s="2"/>
      <x:c r="F20" s="43" t="n">
        <x:f>'02_단위경제'!F19</x:f>
        <x:v>36000</x:v>
      </x:c>
      <x:c r="G20" s="2"/>
      <x:c r="H20" s="2"/>
      <x:c r="I20" s="2"/>
      <x:c r="J20" s="2"/>
      <x:c r="K20" s="2"/>
      <x:c r="L20" s="2"/>
      <x:c r="M20" s="2"/>
      <x:c r="N20" s="2"/>
      <x:c r="O20" s="2"/>
      <x:c r="P20" s="2"/>
    </x:row>
    <x:row r="21" ht="23" customHeight="1">
      <x:c r="A21" s="2"/>
      <x:c r="B21" s="2"/>
      <x:c r="C21" s="2" t="str">
        <x:v>출시 첫해 본체 CM2</x:v>
      </x:c>
      <x:c r="D21" s="2" t="str">
        <x:v>원</x:v>
      </x:c>
      <x:c r="E21" s="2"/>
      <x:c r="F21" s="43" t="n">
        <x:f>'02_단위경제'!F20</x:f>
        <x:v>21525.781818181815</x:v>
      </x:c>
      <x:c r="G21" s="2"/>
      <x:c r="H21" s="2"/>
      <x:c r="I21" s="2"/>
      <x:c r="J21" s="2"/>
      <x:c r="K21" s="2"/>
      <x:c r="L21" s="2"/>
      <x:c r="M21" s="2"/>
      <x:c r="N21" s="2"/>
      <x:c r="O21" s="2"/>
      <x:c r="P21" s="2"/>
    </x:row>
    <x:row r="22" ht="23" customHeight="1">
      <x:c r="A22" s="2"/>
      <x:c r="B22" s="2"/>
      <x:c r="C22" s="2" t="str">
        <x:v>CM2 목표 달성 허용 CAC</x:v>
      </x:c>
      <x:c r="D22" s="2" t="str">
        <x:v>원</x:v>
      </x:c>
      <x:c r="E22" s="2"/>
      <x:c r="F22" s="43" t="n">
        <x:f>'02_단위경제'!F23</x:f>
        <x:v>37525.781818181815</x:v>
      </x:c>
      <x:c r="G22" s="2"/>
      <x:c r="H22" s="2"/>
      <x:c r="I22" s="2"/>
      <x:c r="J22" s="2"/>
      <x:c r="K22" s="2"/>
      <x:c r="L22" s="2"/>
      <x:c r="M22" s="2"/>
      <x:c r="N22" s="2"/>
      <x:c r="O22" s="2"/>
      <x:c r="P22" s="2"/>
    </x:row>
    <x:row r="23" ht="23" customHeight="1">
      <x:c r="A23" s="2"/>
      <x:c r="B23" s="2"/>
      <x:c r="C23" s="2" t="str">
        <x:v>36개월 최대 추가자금 필요</x:v>
      </x:c>
      <x:c r="D23" s="2" t="str">
        <x:v>원</x:v>
      </x:c>
      <x:c r="E23" s="2"/>
      <x:c r="F23" s="43" t="n">
        <x:f>MAX('04_재고현금'!J44:AS44)</x:f>
        <x:v>94598214.32841238</x:v>
      </x:c>
      <x:c r="G23" s="2"/>
      <x:c r="H23" s="2"/>
      <x:c r="I23" s="2"/>
      <x:c r="J23" s="2"/>
      <x:c r="K23" s="2"/>
      <x:c r="L23" s="2"/>
      <x:c r="M23" s="2"/>
      <x:c r="N23" s="2"/>
      <x:c r="O23" s="2"/>
      <x:c r="P23" s="2"/>
    </x:row>
    <x:row r="24" ht="23" customHeight="1">
      <x:c r="A24" s="2"/>
      <x:c r="B24" s="2"/>
      <x:c r="C24" s="2" t="str">
        <x:v>36개월 최저 현금</x:v>
      </x:c>
      <x:c r="D24" s="2" t="str">
        <x:v>원</x:v>
      </x:c>
      <x:c r="E24" s="2"/>
      <x:c r="F24" s="43" t="n">
        <x:f>MIN('04_재고현금'!J43:AS43)</x:f>
        <x:v>-64598214.328412384</x:v>
      </x:c>
      <x:c r="G24" s="2"/>
      <x:c r="H24" s="2"/>
      <x:c r="I24" s="2"/>
      <x:c r="J24" s="2"/>
      <x:c r="K24" s="2"/>
      <x:c r="L24" s="2"/>
      <x:c r="M24" s="2"/>
      <x:c r="N24" s="2"/>
      <x:c r="O24" s="2"/>
      <x:c r="P24" s="2"/>
    </x:row>
    <x:row r="25" ht="23" customHeight="1">
      <x:c r="A25" s="2"/>
      <x:c r="B25" s="2"/>
      <x:c r="C25" s="2" t="str">
        <x:v>첫 현금 부족 월</x:v>
      </x:c>
      <x:c r="D25" s="2" t="str">
        <x:v>월</x:v>
      </x:c>
      <x:c r="E25" s="2"/>
      <x:c r="F25" s="2" t="n">
        <x:f>IF(MIN('04_재고현금'!J43:AS43)&gt;=0,"없음",MATCH(1,J52:AS52,0))</x:f>
        <x:v>13</x:v>
      </x:c>
      <x:c r="G25" s="2"/>
      <x:c r="H25" s="2"/>
      <x:c r="I25" s="2"/>
      <x:c r="J25" s="2"/>
      <x:c r="K25" s="2"/>
      <x:c r="L25" s="2"/>
      <x:c r="M25" s="2"/>
      <x:c r="N25" s="2"/>
      <x:c r="O25" s="2"/>
      <x:c r="P25" s="2"/>
    </x:row>
    <x:row r="26" ht="23" customHeight="1">
      <x:c r="A26" s="2"/>
      <x:c r="B26" s="2"/>
      <x:c r="C26" s="2"/>
      <x:c r="D26" s="2"/>
      <x:c r="E26" s="2"/>
      <x:c r="F26" s="2"/>
      <x:c r="G26" s="2"/>
      <x:c r="H26" s="2"/>
      <x:c r="I26" s="2"/>
      <x:c r="J26" s="2"/>
      <x:c r="K26" s="2"/>
      <x:c r="L26" s="2"/>
      <x:c r="M26" s="2"/>
      <x:c r="N26" s="2"/>
      <x:c r="O26" s="2"/>
      <x:c r="P26" s="2"/>
    </x:row>
    <x:row r="27" ht="23" customHeight="1">
      <x:c r="A27" s="2"/>
      <x:c r="B27" s="2"/>
      <x:c r="C27" s="2"/>
      <x:c r="D27" s="2"/>
      <x:c r="E27" s="2"/>
      <x:c r="F27" s="2"/>
      <x:c r="G27" s="2"/>
      <x:c r="H27" s="2"/>
      <x:c r="I27" s="2"/>
      <x:c r="J27" s="2"/>
      <x:c r="K27" s="2"/>
      <x:c r="L27" s="2"/>
      <x:c r="M27" s="2"/>
      <x:c r="N27" s="2"/>
      <x:c r="O27" s="2"/>
      <x:c r="P27" s="2"/>
    </x:row>
    <x:row r="28" ht="36" customHeight="1">
      <x:c r="A28" s="2"/>
      <x:c r="B28" s="2"/>
      <x:c r="C28" s="13" t="str">
        <x:v>첫 화면의 손익은 독립 사업 기준입니다. 회사 인건비 지원은 현금에만 반영합니다. 기본 시나리오에는 확정되지 않은 올리브영 및 기타 리테일 매출이 포함되지 않습니다.</x:v>
      </x:c>
      <x:c r="D28" s="13"/>
      <x:c r="E28" s="13"/>
      <x:c r="F28" s="13"/>
      <x:c r="G28" s="13"/>
      <x:c r="H28" s="13"/>
      <x:c r="I28" s="13"/>
      <x:c r="J28" s="13"/>
      <x:c r="K28" s="13"/>
      <x:c r="L28" s="13"/>
      <x:c r="M28" s="13"/>
      <x:c r="N28" s="13"/>
      <x:c r="O28" s="13"/>
      <x:c r="P28" s="13"/>
    </x:row>
    <x:row r="29" ht="23" customHeight="1">
      <x:c r="A29" s="2"/>
      <x:c r="B29" s="2"/>
      <x:c r="C29" s="2"/>
      <x:c r="D29" s="2"/>
      <x:c r="E29" s="2"/>
      <x:c r="F29" s="2"/>
      <x:c r="G29" s="2"/>
      <x:c r="H29" s="2"/>
      <x:c r="I29" s="2"/>
      <x:c r="J29" s="2"/>
      <x:c r="K29" s="2"/>
      <x:c r="L29" s="2"/>
      <x:c r="M29" s="2"/>
      <x:c r="N29" s="2"/>
      <x:c r="O29" s="2"/>
      <x:c r="P29" s="2"/>
    </x:row>
    <x:row r="30" ht="23" customHeight="1">
      <x:c r="A30" s="2"/>
      <x:c r="B30" s="2"/>
      <x:c r="C30" s="2"/>
      <x:c r="D30" s="2"/>
      <x:c r="E30" s="2"/>
      <x:c r="F30" s="2"/>
      <x:c r="G30" s="2"/>
      <x:c r="H30" s="2"/>
      <x:c r="I30" s="2"/>
      <x:c r="J30" s="2"/>
      <x:c r="K30" s="2"/>
      <x:c r="L30" s="2"/>
      <x:c r="M30" s="2"/>
      <x:c r="N30" s="2"/>
      <x:c r="O30" s="2"/>
      <x:c r="P30" s="2"/>
    </x:row>
    <x:row r="31" ht="23" customHeight="1">
      <x:c r="A31" s="2"/>
      <x:c r="B31" s="2"/>
      <x:c r="C31" s="19" t="str">
        <x:v>투자 결정을 바꾸는 세 가지 증거</x:v>
      </x:c>
      <x:c r="D31" s="19"/>
      <x:c r="E31" s="19"/>
      <x:c r="F31" s="19"/>
      <x:c r="G31" s="19"/>
      <x:c r="H31" s="19"/>
      <x:c r="I31" s="19"/>
      <x:c r="J31" s="19"/>
      <x:c r="K31" s="19"/>
      <x:c r="L31" s="19"/>
      <x:c r="M31" s="19"/>
      <x:c r="N31" s="19"/>
      <x:c r="O31" s="19"/>
      <x:c r="P31" s="19"/>
    </x:row>
    <x:row r="32" ht="23" customHeight="1">
      <x:c r="A32" s="2"/>
      <x:c r="B32" s="2"/>
      <x:c r="C32" s="2"/>
      <x:c r="D32" s="2"/>
      <x:c r="E32" s="2"/>
      <x:c r="F32" s="2"/>
      <x:c r="G32" s="2"/>
      <x:c r="H32" s="2"/>
      <x:c r="I32" s="2"/>
      <x:c r="J32" s="2"/>
      <x:c r="K32" s="2"/>
      <x:c r="L32" s="2"/>
      <x:c r="M32" s="2"/>
      <x:c r="N32" s="2"/>
      <x:c r="O32" s="2"/>
      <x:c r="P32" s="2"/>
    </x:row>
    <x:row r="33" ht="36" customHeight="1">
      <x:c r="A33" s="2"/>
      <x:c r="B33" s="2"/>
      <x:c r="C33" s="13" t="str">
        <x:v>고객  가격 제시 후 실제 지불과 재사용이 발생하는가.  예약금은 관심 신호이며 실제 출고와 환불을 확인하기 전 판매 전환율로 사용하지 않습니다.</x:v>
      </x:c>
      <x:c r="D33" s="13"/>
      <x:c r="E33" s="13"/>
      <x:c r="F33" s="13"/>
      <x:c r="G33" s="13"/>
      <x:c r="H33" s="13"/>
      <x:c r="I33" s="13"/>
      <x:c r="J33" s="13"/>
      <x:c r="K33" s="13"/>
      <x:c r="L33" s="13"/>
      <x:c r="M33" s="13"/>
      <x:c r="N33" s="13"/>
      <x:c r="O33" s="13"/>
      <x:c r="P33" s="13"/>
    </x:row>
    <x:row r="34" ht="23" customHeight="1">
      <x:c r="A34" s="2"/>
      <x:c r="B34" s="2"/>
      <x:c r="C34" s="2"/>
      <x:c r="D34" s="2"/>
      <x:c r="E34" s="2"/>
      <x:c r="F34" s="2"/>
      <x:c r="G34" s="2"/>
      <x:c r="H34" s="2"/>
      <x:c r="I34" s="2"/>
      <x:c r="J34" s="2"/>
      <x:c r="K34" s="2"/>
      <x:c r="L34" s="2"/>
      <x:c r="M34" s="2"/>
      <x:c r="N34" s="2"/>
      <x:c r="O34" s="2"/>
      <x:c r="P34" s="2"/>
    </x:row>
    <x:row r="35" ht="36" customHeight="1">
      <x:c r="A35" s="2"/>
      <x:c r="B35" s="2"/>
      <x:c r="C35" s="13" t="str">
        <x:v>제품  발목 착용과 지압이 기존 온열 또는 간단한 밴드보다 고객에게 추가 가치를 주는가.  온열 압박의 안전 범위를 먼저 정합니다.</x:v>
      </x:c>
      <x:c r="D35" s="13"/>
      <x:c r="E35" s="13"/>
      <x:c r="F35" s="13"/>
      <x:c r="G35" s="13"/>
      <x:c r="H35" s="13"/>
      <x:c r="I35" s="13"/>
      <x:c r="J35" s="13"/>
      <x:c r="K35" s="13"/>
      <x:c r="L35" s="13"/>
      <x:c r="M35" s="13"/>
      <x:c r="N35" s="13"/>
      <x:c r="O35" s="13"/>
      <x:c r="P35" s="13"/>
    </x:row>
    <x:row r="36" ht="23" customHeight="1">
      <x:c r="A36" s="2"/>
      <x:c r="B36" s="2"/>
      <x:c r="C36" s="2"/>
      <x:c r="D36" s="2"/>
      <x:c r="E36" s="2"/>
      <x:c r="F36" s="2"/>
      <x:c r="G36" s="2"/>
      <x:c r="H36" s="2"/>
      <x:c r="I36" s="2"/>
      <x:c r="J36" s="2"/>
      <x:c r="K36" s="2"/>
      <x:c r="L36" s="2"/>
      <x:c r="M36" s="2"/>
      <x:c r="N36" s="2"/>
      <x:c r="O36" s="2"/>
      <x:c r="P36" s="2"/>
    </x:row>
    <x:row r="37" ht="36" customHeight="1">
      <x:c r="A37" s="2"/>
      <x:c r="B37" s="2"/>
      <x:c r="C37" s="13" t="str">
        <x:v>경제성  검수 원가와 물류 AS 및 광고를 뺀 본체 이익이 양수인가.  리필 구매를 0으로 바꿔도 사업이 버틸 수 있는지 확인합니다.</x:v>
      </x:c>
      <x:c r="D37" s="13"/>
      <x:c r="E37" s="13"/>
      <x:c r="F37" s="13"/>
      <x:c r="G37" s="13"/>
      <x:c r="H37" s="13"/>
      <x:c r="I37" s="13"/>
      <x:c r="J37" s="13"/>
      <x:c r="K37" s="13"/>
      <x:c r="L37" s="13"/>
      <x:c r="M37" s="13"/>
      <x:c r="N37" s="13"/>
      <x:c r="O37" s="13"/>
      <x:c r="P37" s="13"/>
    </x:row>
    <x:row r="38" ht="23" customHeight="1">
      <x:c r="A38" s="2"/>
      <x:c r="B38" s="2"/>
      <x:c r="C38" s="2"/>
      <x:c r="D38" s="2"/>
      <x:c r="E38" s="2"/>
      <x:c r="F38" s="2"/>
      <x:c r="G38" s="2"/>
      <x:c r="H38" s="2"/>
      <x:c r="I38" s="2"/>
      <x:c r="J38" s="2"/>
      <x:c r="K38" s="2"/>
      <x:c r="L38" s="2"/>
      <x:c r="M38" s="2"/>
      <x:c r="N38" s="2"/>
      <x:c r="O38" s="2"/>
      <x:c r="P38" s="2"/>
    </x:row>
    <x:row r="39" ht="23" customHeight="1">
      <x:c r="A39" s="2"/>
      <x:c r="B39" s="2"/>
      <x:c r="C39" s="2"/>
      <x:c r="D39" s="2"/>
      <x:c r="E39" s="2"/>
      <x:c r="F39" s="2"/>
      <x:c r="G39" s="2"/>
      <x:c r="H39" s="2"/>
      <x:c r="I39" s="2"/>
      <x:c r="J39" s="2"/>
      <x:c r="K39" s="2"/>
      <x:c r="L39" s="2"/>
      <x:c r="M39" s="2"/>
      <x:c r="N39" s="2"/>
      <x:c r="O39" s="2"/>
      <x:c r="P39" s="2"/>
    </x:row>
    <x:row r="40" ht="36" customHeight="1">
      <x:c r="A40" s="2"/>
      <x:c r="B40" s="2"/>
      <x:c r="C40" s="13" t="str">
        <x:v>사용 순서  01 가정에서 시나리오 선택과 노란 입력 수정 → 00 요약 확인 → 02 단위경제와 04 재고현금 확인. 실제 데이터는 08 실측입력에 기록합니다.</x:v>
      </x:c>
      <x:c r="D40" s="13"/>
      <x:c r="E40" s="13"/>
      <x:c r="F40" s="13"/>
      <x:c r="G40" s="13"/>
      <x:c r="H40" s="13"/>
      <x:c r="I40" s="13"/>
      <x:c r="J40" s="13"/>
      <x:c r="K40" s="13"/>
      <x:c r="L40" s="13"/>
      <x:c r="M40" s="13"/>
      <x:c r="N40" s="13"/>
      <x:c r="O40" s="13"/>
      <x:c r="P40" s="13"/>
    </x:row>
    <x:row r="41" ht="23" customHeight="1">
      <x:c r="A41" s="2"/>
      <x:c r="B41" s="2"/>
      <x:c r="C41" s="2"/>
      <x:c r="D41" s="2"/>
      <x:c r="E41" s="2"/>
      <x:c r="F41" s="2"/>
      <x:c r="G41" s="2"/>
      <x:c r="H41" s="2"/>
      <x:c r="I41" s="2"/>
      <x:c r="J41" s="2"/>
      <x:c r="K41" s="2"/>
      <x:c r="L41" s="2"/>
      <x:c r="M41" s="2"/>
      <x:c r="N41" s="2"/>
      <x:c r="O41" s="2"/>
      <x:c r="P41" s="2"/>
    </x:row>
    <x:row r="42" ht="23" customHeight="1">
      <x:c r="A42" s="2"/>
      <x:c r="B42" s="2"/>
      <x:c r="C42" s="2"/>
      <x:c r="D42" s="2"/>
      <x:c r="E42" s="2"/>
      <x:c r="F42" s="2"/>
      <x:c r="G42" s="2"/>
      <x:c r="H42" s="2"/>
      <x:c r="I42" s="2"/>
      <x:c r="J42" s="2"/>
      <x:c r="K42" s="2"/>
      <x:c r="L42" s="2"/>
      <x:c r="M42" s="2"/>
      <x:c r="N42" s="2"/>
      <x:c r="O42" s="2"/>
      <x:c r="P42" s="2"/>
    </x:row>
    <x:row r="43" ht="23" customHeight="1">
      <x:c r="A43" s="2"/>
      <x:c r="B43" s="2"/>
      <x:c r="C43" s="2"/>
      <x:c r="D43" s="2"/>
      <x:c r="E43" s="2"/>
      <x:c r="F43" s="2"/>
      <x:c r="G43" s="2"/>
      <x:c r="H43" s="2"/>
      <x:c r="I43" s="2"/>
      <x:c r="J43" s="2"/>
      <x:c r="K43" s="2"/>
      <x:c r="L43" s="2"/>
      <x:c r="M43" s="2"/>
      <x:c r="N43" s="2"/>
      <x:c r="O43" s="2"/>
      <x:c r="P43" s="2"/>
    </x:row>
    <x:row r="44" ht="30" customHeight="1">
      <x:c r="A44" s="2"/>
      <x:c r="B44" s="2"/>
      <x:c r="C44" s="2"/>
      <x:c r="D44" s="2"/>
      <x:c r="E44" s="2"/>
      <x:c r="F44" s="2"/>
      <x:c r="G44" s="2"/>
      <x:c r="H44" s="2"/>
      <x:c r="I44" s="2"/>
      <x:c r="J44" s="17" t="str">
        <x:v>연도</x:v>
      </x:c>
      <x:c r="K44" s="17" t="str">
        <x:v>순매출 백만원</x:v>
      </x:c>
      <x:c r="L44" s="17" t="str">
        <x:v>영업이익 백만원</x:v>
      </x:c>
      <x:c r="M44" s="17" t="str">
        <x:v>기말현금 백만원</x:v>
      </x:c>
      <x:c r="N44" s="2"/>
      <x:c r="O44" s="2"/>
      <x:c r="P44" s="2"/>
    </x:row>
    <x:row r="45" ht="23" customHeight="1">
      <x:c r="A45" s="2"/>
      <x:c r="B45" s="2"/>
      <x:c r="C45" s="2"/>
      <x:c r="D45" s="2"/>
      <x:c r="E45" s="2"/>
      <x:c r="F45" s="2"/>
      <x:c r="G45" s="2"/>
      <x:c r="H45" s="2"/>
      <x:c r="I45" s="2"/>
      <x:c r="J45" s="2" t="str">
        <x:v>1년차</x:v>
      </x:c>
      <x:c r="K45" s="2" t="n">
        <x:f>F10/1000000</x:f>
        <x:v>54.2352219180309</x:v>
      </x:c>
      <x:c r="L45" s="2" t="n">
        <x:f>F15/1000000</x:f>
        <x:v>-232.1711886745597</x:v>
      </x:c>
      <x:c r="M45" s="2" t="n">
        <x:f>F16/1000000</x:f>
        <x:v>3.6618035690954627</x:v>
      </x:c>
      <x:c r="N45" s="2"/>
      <x:c r="O45" s="2"/>
      <x:c r="P45" s="2"/>
    </x:row>
    <x:row r="46" ht="23" customHeight="1">
      <x:c r="A46" s="2"/>
      <x:c r="B46" s="2"/>
      <x:c r="C46" s="2"/>
      <x:c r="D46" s="2"/>
      <x:c r="E46" s="2"/>
      <x:c r="F46" s="2"/>
      <x:c r="G46" s="2"/>
      <x:c r="H46" s="2"/>
      <x:c r="I46" s="2"/>
      <x:c r="J46" s="2" t="str">
        <x:v>2년차</x:v>
      </x:c>
      <x:c r="K46" s="2" t="n">
        <x:f>G10/1000000</x:f>
        <x:v>533.1240120797883</x:v>
      </x:c>
      <x:c r="L46" s="2" t="n">
        <x:f>G15/1000000</x:f>
        <x:v>-39.16376790272027</x:v>
      </x:c>
      <x:c r="M46" s="2" t="n">
        <x:f>G16/1000000</x:f>
        <x:v>-47.31309152871157</x:v>
      </x:c>
      <x:c r="N46" s="2"/>
      <x:c r="O46" s="2"/>
      <x:c r="P46" s="2"/>
    </x:row>
    <x:row r="47" ht="23" customHeight="1">
      <x:c r="A47" s="2"/>
      <x:c r="B47" s="2"/>
      <x:c r="C47" s="2"/>
      <x:c r="D47" s="2"/>
      <x:c r="E47" s="2"/>
      <x:c r="F47" s="2"/>
      <x:c r="G47" s="2"/>
      <x:c r="H47" s="2"/>
      <x:c r="I47" s="2"/>
      <x:c r="J47" s="2" t="str">
        <x:v>3년차</x:v>
      </x:c>
      <x:c r="K47" s="2" t="n">
        <x:f>H10/1000000</x:f>
        <x:v>1328.2982711318339</x:v>
      </x:c>
      <x:c r="L47" s="2" t="n">
        <x:f>H15/1000000</x:f>
        <x:v>240.56644311486977</x:v>
      </x:c>
      <x:c r="M47" s="2" t="n">
        <x:f>H16/1000000</x:f>
        <x:v>271.59645334205425</x:v>
      </x:c>
      <x:c r="N47" s="2"/>
      <x:c r="O47" s="2"/>
      <x:c r="P47" s="2"/>
      <x:c r="Q47"/>
      <x:c r="R47"/>
      <x:c r="S47"/>
      <x:c r="T47"/>
      <x:c r="U47"/>
      <x:c r="V47"/>
      <x:c r="W47"/>
      <x:c r="X47"/>
      <x:c r="Y47"/>
      <x:c r="Z47"/>
      <x:c r="AA47"/>
      <x:c r="AB47"/>
      <x:c r="AC47"/>
      <x:c r="AD47"/>
      <x:c r="AE47"/>
      <x:c r="AF47"/>
      <x:c r="AG47"/>
      <x:c r="AH47"/>
      <x:c r="AI47"/>
      <x:c r="AJ47"/>
      <x:c r="AK47"/>
      <x:c r="AL47"/>
      <x:c r="AM47"/>
      <x:c r="AN47"/>
      <x:c r="AO47"/>
      <x:c r="AP47"/>
      <x:c r="AQ47"/>
      <x:c r="AR47"/>
      <x:c r="AS47"/>
    </x:row>
    <x:row r="48" ht="23" customHeight="1">
      <x:c r="A48" s="2"/>
      <x:c r="B48" s="2"/>
      <x:c r="C48" s="2"/>
      <x:c r="D48" s="2"/>
      <x:c r="E48" s="2"/>
      <x:c r="F48" s="2"/>
      <x:c r="G48" s="2"/>
      <x:c r="H48" s="2"/>
      <x:c r="I48" s="2"/>
      <x:c r="J48" s="2"/>
      <x:c r="K48" s="2"/>
      <x:c r="L48" s="2"/>
      <x:c r="M48" s="2"/>
      <x:c r="N48" s="2"/>
      <x:c r="O48" s="2"/>
      <x:c r="P48" s="2"/>
      <x:c r="Q48" s="48"/>
      <x:c r="R48" s="48"/>
      <x:c r="S48" s="48"/>
      <x:c r="T48" s="48"/>
      <x:c r="U48" s="48"/>
      <x:c r="V48" s="48"/>
      <x:c r="W48" s="48"/>
      <x:c r="X48" s="48"/>
      <x:c r="Y48" s="48"/>
      <x:c r="Z48" s="48"/>
      <x:c r="AA48" s="48"/>
      <x:c r="AB48" s="48"/>
      <x:c r="AC48" s="48"/>
      <x:c r="AD48" s="48"/>
      <x:c r="AE48" s="48"/>
      <x:c r="AF48" s="48"/>
      <x:c r="AG48" s="48"/>
      <x:c r="AH48" s="48"/>
      <x:c r="AI48" s="48"/>
      <x:c r="AJ48" s="48"/>
      <x:c r="AK48" s="48"/>
      <x:c r="AL48" s="48"/>
      <x:c r="AM48" s="48"/>
      <x:c r="AN48" s="48"/>
      <x:c r="AO48" s="48"/>
      <x:c r="AP48" s="48"/>
      <x:c r="AQ48" s="48"/>
      <x:c r="AR48" s="48"/>
      <x:c r="AS48" s="48"/>
    </x:row>
    <x:row r="49" ht="23" customHeight="1">
      <x:c r="A49" s="2"/>
      <x:c r="B49" s="2"/>
      <x:c r="C49" s="2"/>
      <x:c r="D49" s="2"/>
      <x:c r="E49" s="2"/>
      <x:c r="F49" s="2"/>
      <x:c r="G49" s="2"/>
      <x:c r="H49" s="2"/>
      <x:c r="I49" s="2"/>
      <x:c r="J49" s="2"/>
      <x:c r="K49" s="2"/>
      <x:c r="L49" s="2"/>
      <x:c r="M49" s="2"/>
      <x:c r="N49" s="2"/>
      <x:c r="O49" s="2"/>
      <x:c r="P49" s="2"/>
    </x:row>
    <x:row r="50" ht="23" customHeight="1">
      <x:c r="A50" s="2"/>
      <x:c r="B50" s="2"/>
      <x:c r="C50" s="2"/>
      <x:c r="D50" s="2"/>
      <x:c r="E50" s="2"/>
      <x:c r="F50" s="2"/>
      <x:c r="G50" s="2"/>
      <x:c r="H50" s="2"/>
      <x:c r="I50" s="2"/>
      <x:c r="J50" s="2"/>
      <x:c r="K50" s="2"/>
      <x:c r="L50" s="2"/>
      <x:c r="M50" s="2"/>
      <x:c r="N50" s="2"/>
      <x:c r="O50" s="2"/>
      <x:c r="P50" s="2"/>
    </x:row>
    <x:row r="51" ht="23" customHeight="1">
      <x:c r="A51" s="2"/>
      <x:c r="B51" s="2"/>
      <x:c r="C51" s="2"/>
      <x:c r="D51" s="2"/>
      <x:c r="E51" s="2"/>
      <x:c r="F51" s="2"/>
      <x:c r="G51" s="2"/>
      <x:c r="H51" s="2"/>
      <x:c r="I51" s="2"/>
      <x:c r="J51" s="2" t="n">
        <x:v>1</x:v>
      </x:c>
      <x:c r="K51" s="2" t="n">
        <x:v>2</x:v>
      </x:c>
      <x:c r="L51" s="2" t="n">
        <x:v>3</x:v>
      </x:c>
      <x:c r="M51" s="2" t="n">
        <x:v>4</x:v>
      </x:c>
      <x:c r="N51" s="2" t="n">
        <x:v>5</x:v>
      </x:c>
      <x:c r="O51" s="2" t="n">
        <x:v>6</x:v>
      </x:c>
      <x:c r="P51" s="2" t="n">
        <x:v>7</x:v>
      </x:c>
      <x:c r="Q51" t="n">
        <x:v>8</x:v>
      </x:c>
      <x:c r="R51" t="n">
        <x:v>9</x:v>
      </x:c>
      <x:c r="S51" t="n">
        <x:v>10</x:v>
      </x:c>
      <x:c r="T51" t="n">
        <x:v>11</x:v>
      </x:c>
      <x:c r="U51" t="n">
        <x:v>12</x:v>
      </x:c>
      <x:c r="V51" t="n">
        <x:v>13</x:v>
      </x:c>
      <x:c r="W51" t="n">
        <x:v>14</x:v>
      </x:c>
      <x:c r="X51" t="n">
        <x:v>15</x:v>
      </x:c>
      <x:c r="Y51" t="n">
        <x:v>16</x:v>
      </x:c>
      <x:c r="Z51" t="n">
        <x:v>17</x:v>
      </x:c>
      <x:c r="AA51" t="n">
        <x:v>18</x:v>
      </x:c>
      <x:c r="AB51" t="n">
        <x:v>19</x:v>
      </x:c>
      <x:c r="AC51" t="n">
        <x:v>20</x:v>
      </x:c>
      <x:c r="AD51" t="n">
        <x:v>21</x:v>
      </x:c>
      <x:c r="AE51" t="n">
        <x:v>22</x:v>
      </x:c>
      <x:c r="AF51" t="n">
        <x:v>23</x:v>
      </x:c>
      <x:c r="AG51" t="n">
        <x:v>24</x:v>
      </x:c>
      <x:c r="AH51" t="n">
        <x:v>25</x:v>
      </x:c>
      <x:c r="AI51" t="n">
        <x:v>26</x:v>
      </x:c>
      <x:c r="AJ51" t="n">
        <x:v>27</x:v>
      </x:c>
      <x:c r="AK51" t="n">
        <x:v>28</x:v>
      </x:c>
      <x:c r="AL51" t="n">
        <x:v>29</x:v>
      </x:c>
      <x:c r="AM51" t="n">
        <x:v>30</x:v>
      </x:c>
      <x:c r="AN51" t="n">
        <x:v>31</x:v>
      </x:c>
      <x:c r="AO51" t="n">
        <x:v>32</x:v>
      </x:c>
      <x:c r="AP51" t="n">
        <x:v>33</x:v>
      </x:c>
      <x:c r="AQ51" t="n">
        <x:v>34</x:v>
      </x:c>
      <x:c r="AR51" t="n">
        <x:v>35</x:v>
      </x:c>
      <x:c r="AS51" t="n">
        <x:v>36</x:v>
      </x:c>
    </x:row>
    <x:row r="52" ht="23" customHeight="1">
      <x:c r="A52" s="2"/>
      <x:c r="B52" s="2"/>
      <x:c r="C52" s="2"/>
      <x:c r="D52" s="2"/>
      <x:c r="E52" s="2"/>
      <x:c r="F52" s="2"/>
      <x:c r="G52" s="2"/>
      <x:c r="H52" s="2"/>
      <x:c r="I52" s="2"/>
      <x:c r="J52" s="2" t="n">
        <x:f>IF('04_재고현금'!J43&lt;0,1,0)</x:f>
        <x:v>0</x:v>
      </x:c>
      <x:c r="K52" s="2" t="n">
        <x:f>IF('04_재고현금'!K43&lt;0,1,0)</x:f>
        <x:v>0</x:v>
      </x:c>
      <x:c r="L52" s="2" t="n">
        <x:f>IF('04_재고현금'!L43&lt;0,1,0)</x:f>
        <x:v>0</x:v>
      </x:c>
      <x:c r="M52" s="2" t="n">
        <x:f>IF('04_재고현금'!M43&lt;0,1,0)</x:f>
        <x:v>0</x:v>
      </x:c>
      <x:c r="N52" s="2" t="n">
        <x:f>IF('04_재고현금'!N43&lt;0,1,0)</x:f>
        <x:v>0</x:v>
      </x:c>
      <x:c r="O52" s="2" t="n">
        <x:f>IF('04_재고현금'!O43&lt;0,1,0)</x:f>
        <x:v>0</x:v>
      </x:c>
      <x:c r="P52" s="2" t="n">
        <x:f>IF('04_재고현금'!P43&lt;0,1,0)</x:f>
        <x:v>0</x:v>
      </x:c>
      <x:c r="Q52" s="48" t="n">
        <x:f>IF('04_재고현금'!Q43&lt;0,1,0)</x:f>
        <x:v>0</x:v>
      </x:c>
      <x:c r="R52" s="48" t="n">
        <x:f>IF('04_재고현금'!R43&lt;0,1,0)</x:f>
        <x:v>0</x:v>
      </x:c>
      <x:c r="S52" s="48" t="n">
        <x:f>IF('04_재고현금'!S43&lt;0,1,0)</x:f>
        <x:v>0</x:v>
      </x:c>
      <x:c r="T52" s="48" t="n">
        <x:f>IF('04_재고현금'!T43&lt;0,1,0)</x:f>
        <x:v>0</x:v>
      </x:c>
      <x:c r="U52" s="48" t="n">
        <x:f>IF('04_재고현금'!U43&lt;0,1,0)</x:f>
        <x:v>0</x:v>
      </x:c>
      <x:c r="V52" s="48" t="n">
        <x:f>IF('04_재고현금'!V43&lt;0,1,0)</x:f>
        <x:v>1</x:v>
      </x:c>
      <x:c r="W52" s="48" t="n">
        <x:f>IF('04_재고현금'!W43&lt;0,1,0)</x:f>
        <x:v>1</x:v>
      </x:c>
      <x:c r="X52" s="48" t="n">
        <x:f>IF('04_재고현금'!X43&lt;0,1,0)</x:f>
        <x:v>1</x:v>
      </x:c>
      <x:c r="Y52" s="48" t="n">
        <x:f>IF('04_재고현금'!Y43&lt;0,1,0)</x:f>
        <x:v>1</x:v>
      </x:c>
      <x:c r="Z52" s="48" t="n">
        <x:f>IF('04_재고현금'!Z43&lt;0,1,0)</x:f>
        <x:v>1</x:v>
      </x:c>
      <x:c r="AA52" s="48" t="n">
        <x:f>IF('04_재고현금'!AA43&lt;0,1,0)</x:f>
        <x:v>1</x:v>
      </x:c>
      <x:c r="AB52" s="48" t="n">
        <x:f>IF('04_재고현금'!AB43&lt;0,1,0)</x:f>
        <x:v>1</x:v>
      </x:c>
      <x:c r="AC52" s="48" t="n">
        <x:f>IF('04_재고현금'!AC43&lt;0,1,0)</x:f>
        <x:v>1</x:v>
      </x:c>
      <x:c r="AD52" s="48" t="n">
        <x:f>IF('04_재고현금'!AD43&lt;0,1,0)</x:f>
        <x:v>1</x:v>
      </x:c>
      <x:c r="AE52" s="48" t="n">
        <x:f>IF('04_재고현금'!AE43&lt;0,1,0)</x:f>
        <x:v>1</x:v>
      </x:c>
      <x:c r="AF52" s="48" t="n">
        <x:f>IF('04_재고현금'!AF43&lt;0,1,0)</x:f>
        <x:v>1</x:v>
      </x:c>
      <x:c r="AG52" s="48" t="n">
        <x:f>IF('04_재고현금'!AG43&lt;0,1,0)</x:f>
        <x:v>1</x:v>
      </x:c>
      <x:c r="AH52" s="48" t="n">
        <x:f>IF('04_재고현금'!AH43&lt;0,1,0)</x:f>
        <x:v>1</x:v>
      </x:c>
      <x:c r="AI52" s="48" t="n">
        <x:f>IF('04_재고현금'!AI43&lt;0,1,0)</x:f>
        <x:v>1</x:v>
      </x:c>
      <x:c r="AJ52" s="48" t="n">
        <x:f>IF('04_재고현금'!AJ43&lt;0,1,0)</x:f>
        <x:v>0</x:v>
      </x:c>
      <x:c r="AK52" s="48" t="n">
        <x:f>IF('04_재고현금'!AK43&lt;0,1,0)</x:f>
        <x:v>1</x:v>
      </x:c>
      <x:c r="AL52" s="48" t="n">
        <x:f>IF('04_재고현금'!AL43&lt;0,1,0)</x:f>
        <x:v>0</x:v>
      </x:c>
      <x:c r="AM52" s="48" t="n">
        <x:f>IF('04_재고현금'!AM43&lt;0,1,0)</x:f>
        <x:v>0</x:v>
      </x:c>
      <x:c r="AN52" s="48" t="n">
        <x:f>IF('04_재고현금'!AN43&lt;0,1,0)</x:f>
        <x:v>0</x:v>
      </x:c>
      <x:c r="AO52" s="48" t="n">
        <x:f>IF('04_재고현금'!AO43&lt;0,1,0)</x:f>
        <x:v>0</x:v>
      </x:c>
      <x:c r="AP52" s="48" t="n">
        <x:f>IF('04_재고현금'!AP43&lt;0,1,0)</x:f>
        <x:v>0</x:v>
      </x:c>
      <x:c r="AQ52" s="48" t="n">
        <x:f>IF('04_재고현금'!AQ43&lt;0,1,0)</x:f>
        <x:v>0</x:v>
      </x:c>
      <x:c r="AR52" s="48" t="n">
        <x:f>IF('04_재고현금'!AR43&lt;0,1,0)</x:f>
        <x:v>0</x:v>
      </x:c>
      <x:c r="AS52" s="48" t="n">
        <x:f>IF('04_재고현금'!AS43&lt;0,1,0)</x:f>
        <x:v>0</x:v>
      </x:c>
    </x:row>
    <x:row r="53" ht="23" customHeight="1">
      <x:c r="A53" s="2"/>
      <x:c r="B53" s="2"/>
      <x:c r="C53" s="2"/>
      <x:c r="D53" s="2"/>
      <x:c r="E53" s="2"/>
      <x:c r="F53" s="2"/>
      <x:c r="G53" s="2"/>
      <x:c r="H53" s="2"/>
      <x:c r="I53" s="2"/>
      <x:c r="J53" s="2"/>
      <x:c r="K53" s="2"/>
      <x:c r="L53" s="2"/>
      <x:c r="M53" s="2"/>
      <x:c r="N53" s="2"/>
      <x:c r="O53" s="2"/>
      <x:c r="P53" s="2"/>
    </x:row>
    <x:row r="54" ht="23" customHeight="1">
      <x:c r="A54" s="2"/>
      <x:c r="B54" s="2"/>
      <x:c r="C54" s="2"/>
      <x:c r="D54" s="2"/>
      <x:c r="E54" s="2"/>
      <x:c r="F54" s="2"/>
      <x:c r="G54" s="2"/>
      <x:c r="H54" s="2"/>
      <x:c r="I54" s="2"/>
      <x:c r="J54" s="2"/>
      <x:c r="K54" s="2"/>
      <x:c r="L54" s="2"/>
      <x:c r="M54" s="2"/>
      <x:c r="N54" s="2"/>
      <x:c r="O54" s="2"/>
      <x:c r="P54" s="2"/>
    </x:row>
  </x:sheetData>
  <x:mergeCells>
    <x:mergeCell ref="C5:P5"/>
    <x:mergeCell ref="C28:P28"/>
    <x:mergeCell ref="C33:P33"/>
    <x:mergeCell ref="C35:P35"/>
    <x:mergeCell ref="C37:P37"/>
    <x:mergeCell ref="C40:P40"/>
  </x:mergeCells>
  <x:pageMargins left="0.7" right="0.7" top="0.75" bottom="0.75" header="0.3" footer="0.3"/>
  <x:drawing xmlns:r="http://schemas.openxmlformats.org/officeDocument/2006/relationships" r:id="Rc135079015df4258"/>
</x:worksheet>
</file>

<file path=xl/worksheets/sheet2.xml><?xml version="1.0" encoding="utf-8"?>
<x:worksheet xmlns:x="http://schemas.openxmlformats.org/spreadsheetml/2006/main">
  <x:sheetPr>
    <x:tabColor rgb="FF6D8DA9"/>
  </x:sheetPr>
  <x:sheetViews>
    <x:sheetView showGridLines="0" workbookViewId="0">
      <x:pane ySplit="8" topLeftCell="A9" activePane="bottomLeft" state="frozen"/>
    </x:sheetView>
  </x:sheetViews>
  <x:sheetFormatPr defaultRowHeight="15"/>
  <x:cols>
    <x:col min="1" max="1" width="2.200000047683716" hidden="0" customWidth="1"/>
    <x:col min="2" max="2" width="2.200000047683716" hidden="0" customWidth="1"/>
    <x:col min="3" max="3" width="35" hidden="0" customWidth="1"/>
    <x:col min="4" max="4" width="12" hidden="0" customWidth="1"/>
    <x:col min="5" max="5" width="8" hidden="0" customWidth="1"/>
    <x:col min="6" max="6" width="17" hidden="0" customWidth="1"/>
    <x:col min="7" max="7" width="17" hidden="0" customWidth="1"/>
    <x:col min="8" max="8" width="17" hidden="0" customWidth="1"/>
    <x:col min="9" max="9" width="3" hidden="0" customWidth="1"/>
    <x:col min="10" max="10" width="22" hidden="0" customWidth="1"/>
    <x:col min="11" max="11" width="22" hidden="0" customWidth="1"/>
    <x:col min="12" max="12" width="22" hidden="0" customWidth="1"/>
  </x:cols>
  <x:sheetData>
    <x:row r="1" ht="23" customHeight="1">
      <x:c r="A1" s="2"/>
      <x:c r="B1" s="2"/>
      <x:c r="C1" s="2"/>
      <x:c r="D1" s="2"/>
      <x:c r="E1" s="2"/>
      <x:c r="F1" s="2"/>
      <x:c r="G1" s="2"/>
      <x:c r="H1" s="2"/>
      <x:c r="I1" s="2"/>
      <x:c r="J1" s="2"/>
      <x:c r="K1" s="2"/>
      <x:c r="L1" s="2"/>
    </x:row>
    <x:row r="2" ht="35" customHeight="1">
      <x:c r="A2" s="2"/>
      <x:c r="B2" s="2"/>
      <x:c r="C2" s="3" t="str">
        <x:v>사업 가정 · 숫자를 바꾸면 매출과 현금이 달라지는 설정표</x:v>
      </x:c>
      <x:c r="D2" s="2"/>
      <x:c r="E2" s="2"/>
      <x:c r="F2" s="2"/>
      <x:c r="G2" s="2"/>
      <x:c r="H2" s="2"/>
      <x:c r="I2" s="2"/>
      <x:c r="J2" s="2"/>
      <x:c r="K2" s="2"/>
      <x:c r="L2" s="2"/>
    </x:row>
    <x:row r="3" ht="23" customHeight="1">
      <x:c r="A3" s="2"/>
      <x:c r="B3" s="2"/>
      <x:c r="C3" s="2"/>
      <x:c r="D3" s="2"/>
      <x:c r="E3" s="2"/>
      <x:c r="F3" s="2"/>
      <x:c r="G3" s="2"/>
      <x:c r="H3" s="2"/>
      <x:c r="I3" s="2"/>
      <x:c r="J3" s="2"/>
      <x:c r="K3" s="2"/>
      <x:c r="L3" s="2"/>
    </x:row>
    <x:row r="4" ht="23" customHeight="1">
      <x:c r="A4" s="2"/>
      <x:c r="B4" s="2"/>
      <x:c r="C4" s="2"/>
      <x:c r="D4" s="2"/>
      <x:c r="E4" s="2"/>
      <x:c r="F4" s="50" t="n">
        <x:v>2</x:v>
      </x:c>
      <x:c r="G4" s="8" t="str">
        <x:v>선택 결과</x:v>
      </x:c>
      <x:c r="H4" s="9" t="str">
        <x:f>CHOOSE(F4,"보수","기준","확장")</x:f>
        <x:v>기준</x:v>
      </x:c>
      <x:c r="I4" s="2"/>
      <x:c r="J4" s="2"/>
      <x:c r="K4" s="2"/>
      <x:c r="L4" s="2"/>
    </x:row>
    <x:row r="5" ht="23" customHeight="1">
      <x:c r="A5" s="2"/>
      <x:c r="B5" s="2"/>
      <x:c r="C5" s="2" t="str">
        <x:v>모델 시작월</x:v>
      </x:c>
      <x:c r="D5" s="2"/>
      <x:c r="E5" s="2"/>
      <x:c r="F5" s="12" t="n">
        <x:v>46388</x:v>
      </x:c>
      <x:c r="G5" s="2"/>
      <x:c r="H5" s="2"/>
      <x:c r="I5" s="2"/>
      <x:c r="J5" s="2"/>
      <x:c r="K5" s="2"/>
      <x:c r="L5" s="2"/>
    </x:row>
    <x:row r="6" ht="57" customHeight="1">
      <x:c r="A6" s="2"/>
      <x:c r="B6" s="2"/>
      <x:c r="C6" s="13" t="str">
        <x:v>① F4에서 1 보수 / 2 기준 / 3 확장 선택 → ② 노란 칸의 가정 수정 → ③ 00_투자판단에서 결과 확인. 파란 숫자는 입력, 적용 행은 자동 계산입니다. 1~3년차는 시작월부터 12개월씩이며 출시 후 경과연도가 아닙니다. 확정 실적·견적이 없는 숫자는 기존 시험값을 유지했습니다.</x:v>
      </x:c>
      <x:c r="D6" s="13"/>
      <x:c r="E6" s="13"/>
      <x:c r="F6" s="13"/>
      <x:c r="G6" s="13"/>
      <x:c r="H6" s="13"/>
      <x:c r="I6" s="13"/>
      <x:c r="J6" s="13"/>
      <x:c r="K6" s="13"/>
      <x:c r="L6" s="13"/>
    </x:row>
    <x:row r="7" ht="23" customHeight="1">
      <x:c r="A7" s="2"/>
      <x:c r="B7" s="2"/>
      <x:c r="C7" s="2"/>
      <x:c r="D7" s="2"/>
      <x:c r="E7" s="2"/>
      <x:c r="F7" s="2"/>
      <x:c r="G7" s="2"/>
      <x:c r="H7" s="2"/>
      <x:c r="I7" s="2"/>
      <x:c r="J7" s="2"/>
      <x:c r="K7" s="2"/>
      <x:c r="L7" s="2"/>
    </x:row>
    <x:row r="8" ht="30" customHeight="1">
      <x:c r="A8" s="2"/>
      <x:c r="B8" s="2"/>
      <x:c r="C8" s="17" t="str">
        <x:v>가정 항목</x:v>
      </x:c>
      <x:c r="D8" s="17" t="str">
        <x:v>구분</x:v>
      </x:c>
      <x:c r="E8" s="17" t="str">
        <x:v>단위</x:v>
      </x:c>
      <x:c r="F8" s="17" t="str">
        <x:v>1년차</x:v>
      </x:c>
      <x:c r="G8" s="17" t="str">
        <x:v>2년차</x:v>
      </x:c>
      <x:c r="H8" s="17" t="str">
        <x:v>3년차</x:v>
      </x:c>
      <x:c r="I8" s="2"/>
      <x:c r="J8" s="2" t="str">
        <x:v>뜻 · 기존 숫자의 근거 · 수정 기준</x:v>
      </x:c>
      <x:c r="K8" s="2"/>
      <x:c r="L8" s="2"/>
    </x:row>
    <x:row r="9" ht="23" customHeight="1">
      <x:c r="A9" s="2"/>
      <x:c r="B9" s="2"/>
      <x:c r="C9" s="2"/>
      <x:c r="D9" s="2"/>
      <x:c r="E9" s="2"/>
      <x:c r="F9" s="2"/>
      <x:c r="G9" s="2"/>
      <x:c r="H9" s="2"/>
      <x:c r="I9" s="2"/>
      <x:c r="J9" s="2"/>
      <x:c r="K9" s="2"/>
      <x:c r="L9" s="2"/>
    </x:row>
    <x:row r="10" ht="23" customHeight="1">
      <x:c r="A10" s="2"/>
      <x:c r="B10" s="2"/>
      <x:c r="C10" s="19" t="str">
        <x:v>본체 실결제가</x:v>
      </x:c>
      <x:c r="D10" s="19" t="str">
        <x:v>적용</x:v>
      </x:c>
      <x:c r="E10" s="19" t="str">
        <x:v>원</x:v>
      </x:c>
      <x:c r="F10" s="21" t="n">
        <x:f>IF(CHOOSE($F$4,COUNT(F11),COUNT(F12),COUNT(F13))=0,"미입력",CHOOSE($F$4,F11,F12,F13))</x:f>
        <x:v>149000</x:v>
      </x:c>
      <x:c r="G10" s="21" t="n">
        <x:f>IF(CHOOSE($F$4,COUNT(G11),COUNT(G12),COUNT(G13))=0,"미입력",CHOOSE($F$4,G11,G12,G13))</x:f>
        <x:v>149000</x:v>
      </x:c>
      <x:c r="H10" s="21" t="n">
        <x:f>IF(CHOOSE($F$4,COUNT(H11),COUNT(H12),COUNT(H13))=0,"미입력",CHOOSE($F$4,H11,H12,H13))</x:f>
        <x:v>149000</x:v>
      </x:c>
      <x:c r="I10" s="2"/>
      <x:c r="J10" s="13" t="str">
        <x:v>고객이 본체 키트 1개에 실제 결제하는 금액(VAT 포함). 기준 149,000원은 종전 모델 S05의 시험값이며 가격조사 결과가 아닙니다. 보수는 할인 판매, 확장은 높은 가격 수용을 가정합니다. 실제 할인 후 판매가로 교체하세요. A01</x:v>
      </x:c>
      <x:c r="K10" s="13"/>
      <x:c r="L10" s="13"/>
    </x:row>
    <x:row r="11" ht="23" customHeight="1">
      <x:c r="A11" s="2"/>
      <x:c r="B11" s="2"/>
      <x:c r="C11" s="2"/>
      <x:c r="D11" s="2" t="str">
        <x:v>보수</x:v>
      </x:c>
      <x:c r="E11" s="2"/>
      <x:c r="F11" s="22" t="n">
        <x:v>129000</x:v>
      </x:c>
      <x:c r="G11" s="22" t="n">
        <x:v>129000</x:v>
      </x:c>
      <x:c r="H11" s="22" t="n">
        <x:v>129000</x:v>
      </x:c>
      <x:c r="I11" s="2"/>
      <x:c r="J11" s="13"/>
      <x:c r="K11" s="13"/>
      <x:c r="L11" s="13"/>
    </x:row>
    <x:row r="12" ht="23" customHeight="1">
      <x:c r="A12" s="2"/>
      <x:c r="B12" s="2"/>
      <x:c r="C12" s="2"/>
      <x:c r="D12" s="2" t="str">
        <x:v>기준</x:v>
      </x:c>
      <x:c r="E12" s="2"/>
      <x:c r="F12" s="22" t="n">
        <x:v>149000</x:v>
      </x:c>
      <x:c r="G12" s="22" t="n">
        <x:v>149000</x:v>
      </x:c>
      <x:c r="H12" s="22" t="n">
        <x:v>149000</x:v>
      </x:c>
      <x:c r="I12" s="2"/>
      <x:c r="J12" s="13"/>
      <x:c r="K12" s="13"/>
      <x:c r="L12" s="13"/>
    </x:row>
    <x:row r="13" ht="23" customHeight="1">
      <x:c r="A13" s="2"/>
      <x:c r="B13" s="2"/>
      <x:c r="C13" s="2"/>
      <x:c r="D13" s="2" t="str">
        <x:v>확장</x:v>
      </x:c>
      <x:c r="E13" s="2"/>
      <x:c r="F13" s="22" t="n">
        <x:v>169000</x:v>
      </x:c>
      <x:c r="G13" s="22" t="n">
        <x:v>169000</x:v>
      </x:c>
      <x:c r="H13" s="22" t="n">
        <x:v>169000</x:v>
      </x:c>
      <x:c r="I13" s="2"/>
      <x:c r="J13" s="13"/>
      <x:c r="K13" s="13"/>
      <x:c r="L13" s="13"/>
    </x:row>
    <x:row r="14" ht="23" customHeight="1">
      <x:c r="A14" s="2"/>
      <x:c r="B14" s="2"/>
      <x:c r="C14" s="19" t="str">
        <x:v>완제품 키트 제조원가</x:v>
      </x:c>
      <x:c r="D14" s="19" t="str">
        <x:v>적용</x:v>
      </x:c>
      <x:c r="E14" s="19" t="str">
        <x:v>원</x:v>
      </x:c>
      <x:c r="F14" s="21" t="n">
        <x:f>IF(CHOOSE($F$4,COUNT(F15),COUNT(F16),COUNT(F17))=0,"미입력",CHOOSE($F$4,F15,F16,F17))</x:f>
        <x:v>55000</x:v>
      </x:c>
      <x:c r="G14" s="21" t="n">
        <x:f>IF(CHOOSE($F$4,COUNT(G15),COUNT(G16),COUNT(G17))=0,"미입력",CHOOSE($F$4,G15,G16,G17))</x:f>
        <x:v>50000</x:v>
      </x:c>
      <x:c r="H14" s="21" t="n">
        <x:f>IF(CHOOSE($F$4,COUNT(H15),COUNT(H16),COUNT(H17))=0,"미입력",CHOOSE($F$4,H15,H16,H17))</x:f>
        <x:v>46000</x:v>
      </x:c>
      <x:c r="I14" s="2"/>
      <x:c r="J14" s="13" t="str">
        <x:v>본체 1개+동봉 패치 12개의 제조·포장 원가(VAT 제외). 55,000→50,000→46,000원은 양산 효율 개선을 미리 넣은 가정이며 견적이 없습니다. 원가 하락이 확인되지 않으면 2·3년차도 같은 금액으로 두세요. A02</x:v>
      </x:c>
      <x:c r="K14" s="13"/>
      <x:c r="L14" s="13"/>
    </x:row>
    <x:row r="15" ht="23" customHeight="1">
      <x:c r="A15" s="2"/>
      <x:c r="B15" s="2"/>
      <x:c r="C15" s="2"/>
      <x:c r="D15" s="2" t="str">
        <x:v>보수</x:v>
      </x:c>
      <x:c r="E15" s="2"/>
      <x:c r="F15" s="22" t="n">
        <x:v>70000</x:v>
      </x:c>
      <x:c r="G15" s="22" t="n">
        <x:v>65000</x:v>
      </x:c>
      <x:c r="H15" s="22" t="n">
        <x:v>60000</x:v>
      </x:c>
      <x:c r="I15" s="2"/>
      <x:c r="J15" s="13"/>
      <x:c r="K15" s="13"/>
      <x:c r="L15" s="13"/>
    </x:row>
    <x:row r="16" ht="23" customHeight="1">
      <x:c r="A16" s="2"/>
      <x:c r="B16" s="2"/>
      <x:c r="C16" s="2"/>
      <x:c r="D16" s="2" t="str">
        <x:v>기준</x:v>
      </x:c>
      <x:c r="E16" s="2"/>
      <x:c r="F16" s="22" t="n">
        <x:v>55000</x:v>
      </x:c>
      <x:c r="G16" s="22" t="n">
        <x:v>50000</x:v>
      </x:c>
      <x:c r="H16" s="22" t="n">
        <x:v>46000</x:v>
      </x:c>
      <x:c r="I16" s="2"/>
      <x:c r="J16" s="13"/>
      <x:c r="K16" s="13"/>
      <x:c r="L16" s="13"/>
    </x:row>
    <x:row r="17" ht="23" customHeight="1">
      <x:c r="A17" s="2"/>
      <x:c r="B17" s="2"/>
      <x:c r="C17" s="2"/>
      <x:c r="D17" s="2" t="str">
        <x:v>확장</x:v>
      </x:c>
      <x:c r="E17" s="2"/>
      <x:c r="F17" s="22" t="n">
        <x:v>45000</x:v>
      </x:c>
      <x:c r="G17" s="22" t="n">
        <x:v>40000</x:v>
      </x:c>
      <x:c r="H17" s="22" t="n">
        <x:v>37000</x:v>
      </x:c>
      <x:c r="I17" s="2"/>
      <x:c r="J17" s="13"/>
      <x:c r="K17" s="13"/>
      <x:c r="L17" s="13"/>
    </x:row>
    <x:row r="18" ht="23" customHeight="1">
      <x:c r="A18" s="2"/>
      <x:c r="B18" s="2"/>
      <x:c r="C18" s="19" t="str">
        <x:v>유료 유입 클릭당 비용</x:v>
      </x:c>
      <x:c r="D18" s="19" t="str">
        <x:v>적용</x:v>
      </x:c>
      <x:c r="E18" s="19" t="str">
        <x:v>원</x:v>
      </x:c>
      <x:c r="F18" s="21" t="n">
        <x:f>IF(CHOOSE($F$4,COUNT(F19),COUNT(F20),COUNT(F21))=0,"미입력",CHOOSE($F$4,F19,F20,F21))</x:f>
        <x:v>900</x:v>
      </x:c>
      <x:c r="G18" s="21" t="n">
        <x:f>IF(CHOOSE($F$4,COUNT(G19),COUNT(G20),COUNT(G21))=0,"미입력",CHOOSE($F$4,G19,G20,G21))</x:f>
        <x:v>800</x:v>
      </x:c>
      <x:c r="H18" s="21" t="n">
        <x:f>IF(CHOOSE($F$4,COUNT(H19),COUNT(H20),COUNT(H21))=0,"미입력",CHOOSE($F$4,H19,H20,H21))</x:f>
        <x:v>750</x:v>
      </x:c>
      <x:c r="I18" s="2"/>
      <x:c r="J18" s="13" t="str">
        <x:v>광고로 방문 1회를 얻는 비용(CPC). 기준 900원은 광고 실적이 없는 시험값입니다. 광고비÷유효 클릭수로 확인하세요. 800원·750원으로 내려가는 것은 광고 효율이 개선된다는 추가 가정입니다. A03</x:v>
      </x:c>
      <x:c r="K18" s="13"/>
      <x:c r="L18" s="13"/>
    </x:row>
    <x:row r="19" ht="23" customHeight="1">
      <x:c r="A19" s="2"/>
      <x:c r="B19" s="2"/>
      <x:c r="C19" s="2"/>
      <x:c r="D19" s="2" t="str">
        <x:v>보수</x:v>
      </x:c>
      <x:c r="E19" s="2"/>
      <x:c r="F19" s="22" t="n">
        <x:v>1200</x:v>
      </x:c>
      <x:c r="G19" s="22" t="n">
        <x:v>1100</x:v>
      </x:c>
      <x:c r="H19" s="22" t="n">
        <x:v>1000</x:v>
      </x:c>
      <x:c r="I19" s="2"/>
      <x:c r="J19" s="13"/>
      <x:c r="K19" s="13"/>
      <x:c r="L19" s="13"/>
    </x:row>
    <x:row r="20" ht="23" customHeight="1">
      <x:c r="A20" s="2"/>
      <x:c r="B20" s="2"/>
      <x:c r="C20" s="2"/>
      <x:c r="D20" s="2" t="str">
        <x:v>기준</x:v>
      </x:c>
      <x:c r="E20" s="2"/>
      <x:c r="F20" s="22" t="n">
        <x:v>900</x:v>
      </x:c>
      <x:c r="G20" s="22" t="n">
        <x:v>800</x:v>
      </x:c>
      <x:c r="H20" s="22" t="n">
        <x:v>750</x:v>
      </x:c>
      <x:c r="I20" s="2"/>
      <x:c r="J20" s="13"/>
      <x:c r="K20" s="13"/>
      <x:c r="L20" s="13"/>
    </x:row>
    <x:row r="21" ht="23" customHeight="1">
      <x:c r="A21" s="2"/>
      <x:c r="B21" s="2"/>
      <x:c r="C21" s="2"/>
      <x:c r="D21" s="2" t="str">
        <x:v>확장</x:v>
      </x:c>
      <x:c r="E21" s="2"/>
      <x:c r="F21" s="22" t="n">
        <x:v>700</x:v>
      </x:c>
      <x:c r="G21" s="22" t="n">
        <x:v>650</x:v>
      </x:c>
      <x:c r="H21" s="22" t="n">
        <x:v>600</x:v>
      </x:c>
      <x:c r="I21" s="2"/>
      <x:c r="J21" s="13"/>
      <x:c r="K21" s="13"/>
      <x:c r="L21" s="13"/>
    </x:row>
    <x:row r="22" ht="23" customHeight="1">
      <x:c r="A22" s="2"/>
      <x:c r="B22" s="2"/>
      <x:c r="C22" s="19" t="str">
        <x:v>유효 클릭의 출고 전환율</x:v>
      </x:c>
      <x:c r="D22" s="19" t="str">
        <x:v>적용</x:v>
      </x:c>
      <x:c r="E22" s="19" t="str">
        <x:v>%</x:v>
      </x:c>
      <x:c r="F22" s="23" t="n">
        <x:f>IF(CHOOSE($F$4,COUNT(F23),COUNT(F24),COUNT(F25))=0,"미입력",CHOOSE($F$4,F23,F24,F25))</x:f>
        <x:v>0.025</x:v>
      </x:c>
      <x:c r="G22" s="23" t="n">
        <x:f>IF(CHOOSE($F$4,COUNT(G23),COUNT(G24),COUNT(G25))=0,"미입력",CHOOSE($F$4,G23,G24,G25))</x:f>
        <x:v>0.03</x:v>
      </x:c>
      <x:c r="H22" s="23" t="n">
        <x:f>IF(CHOOSE($F$4,COUNT(H23),COUNT(H24),COUNT(H25))=0,"미입력",CHOOSE($F$4,H23,H24,H25))</x:f>
        <x:v>0.035</x:v>
      </x:c>
      <x:c r="I22" s="2"/>
      <x:c r="J22" s="13" t="str">
        <x:v>방문 중 결제 후 실제 출고까지 이어지는 비율. 2.5%는 방문 1,000회당 출고 25건을 뜻합니다. 예약자 비율이 아닙니다. 현재 자연 유입에도 같은 비율을 적용합니다. 3.0%·3.5% 개선은 미검증입니다. A04</x:v>
      </x:c>
      <x:c r="K22" s="13"/>
      <x:c r="L22" s="13"/>
    </x:row>
    <x:row r="23" ht="23" customHeight="1">
      <x:c r="A23" s="2"/>
      <x:c r="B23" s="2"/>
      <x:c r="C23" s="2"/>
      <x:c r="D23" s="2" t="str">
        <x:v>보수</x:v>
      </x:c>
      <x:c r="E23" s="2"/>
      <x:c r="F23" s="24" t="n">
        <x:v>0.015</x:v>
      </x:c>
      <x:c r="G23" s="24" t="n">
        <x:v>0.018</x:v>
      </x:c>
      <x:c r="H23" s="24" t="n">
        <x:v>0.02</x:v>
      </x:c>
      <x:c r="I23" s="2"/>
      <x:c r="J23" s="13"/>
      <x:c r="K23" s="13"/>
      <x:c r="L23" s="13"/>
    </x:row>
    <x:row r="24" ht="23" customHeight="1">
      <x:c r="A24" s="2"/>
      <x:c r="B24" s="2"/>
      <x:c r="C24" s="2"/>
      <x:c r="D24" s="2" t="str">
        <x:v>기준</x:v>
      </x:c>
      <x:c r="E24" s="2"/>
      <x:c r="F24" s="24" t="n">
        <x:v>0.025</x:v>
      </x:c>
      <x:c r="G24" s="24" t="n">
        <x:v>0.03</x:v>
      </x:c>
      <x:c r="H24" s="24" t="n">
        <x:v>0.035</x:v>
      </x:c>
      <x:c r="I24" s="2"/>
      <x:c r="J24" s="13"/>
      <x:c r="K24" s="13"/>
      <x:c r="L24" s="13"/>
    </x:row>
    <x:row r="25" ht="23" customHeight="1">
      <x:c r="A25" s="2"/>
      <x:c r="B25" s="2"/>
      <x:c r="C25" s="2"/>
      <x:c r="D25" s="2" t="str">
        <x:v>확장</x:v>
      </x:c>
      <x:c r="E25" s="2"/>
      <x:c r="F25" s="24" t="n">
        <x:v>0.04</x:v>
      </x:c>
      <x:c r="G25" s="24" t="n">
        <x:v>0.045</x:v>
      </x:c>
      <x:c r="H25" s="24" t="n">
        <x:v>0.05</x:v>
      </x:c>
      <x:c r="I25" s="2"/>
      <x:c r="J25" s="13"/>
      <x:c r="K25" s="13"/>
      <x:c r="L25" s="13"/>
    </x:row>
    <x:row r="26" ht="23" customHeight="1">
      <x:c r="A26" s="2"/>
      <x:c r="B26" s="2"/>
      <x:c r="C26" s="19" t="str">
        <x:v>본체 DTC 전액 환불률</x:v>
      </x:c>
      <x:c r="D26" s="19" t="str">
        <x:v>적용</x:v>
      </x:c>
      <x:c r="E26" s="19" t="str">
        <x:v>%</x:v>
      </x:c>
      <x:c r="F26" s="23" t="n">
        <x:f>IF(CHOOSE($F$4,COUNT(F27),COUNT(F28),COUNT(F29))=0,"미입력",CHOOSE($F$4,F27,F28,F29))</x:f>
        <x:v>0.08</x:v>
      </x:c>
      <x:c r="G26" s="23" t="n">
        <x:f>IF(CHOOSE($F$4,COUNT(G27),COUNT(G28),COUNT(G29))=0,"미입력",CHOOSE($F$4,G27,G28,G29))</x:f>
        <x:v>0.07</x:v>
      </x:c>
      <x:c r="H26" s="23" t="n">
        <x:f>IF(CHOOSE($F$4,COUNT(H27),COUNT(H28),COUNT(H29))=0,"미입력",CHOOSE($F$4,H27,H28,H29))</x:f>
        <x:v>0.06</x:v>
      </x:c>
      <x:c r="I26" s="2"/>
      <x:c r="J26" s="13" t="str">
        <x:v>출고한 본체 중 전액 환불되는 비율. 8%이면 100대 출고 중 8대 환불을 예상합니다. 환불된 제품의 제조원가·배송비도 이미 발생한 비용이며 회수품 재판매 수입은 0으로 둡니다. 동일 출고집단의 실적으로 교체하세요. A05</x:v>
      </x:c>
      <x:c r="K26" s="13"/>
      <x:c r="L26" s="13"/>
    </x:row>
    <x:row r="27" ht="23" customHeight="1">
      <x:c r="A27" s="2"/>
      <x:c r="B27" s="2"/>
      <x:c r="C27" s="2"/>
      <x:c r="D27" s="2" t="str">
        <x:v>보수</x:v>
      </x:c>
      <x:c r="E27" s="2"/>
      <x:c r="F27" s="24" t="n">
        <x:v>0.15</x:v>
      </x:c>
      <x:c r="G27" s="24" t="n">
        <x:v>0.12</x:v>
      </x:c>
      <x:c r="H27" s="24" t="n">
        <x:v>0.1</x:v>
      </x:c>
      <x:c r="I27" s="2"/>
      <x:c r="J27" s="13"/>
      <x:c r="K27" s="13"/>
      <x:c r="L27" s="13"/>
    </x:row>
    <x:row r="28" ht="23" customHeight="1">
      <x:c r="A28" s="2"/>
      <x:c r="B28" s="2"/>
      <x:c r="C28" s="2"/>
      <x:c r="D28" s="2" t="str">
        <x:v>기준</x:v>
      </x:c>
      <x:c r="E28" s="2"/>
      <x:c r="F28" s="24" t="n">
        <x:v>0.08</x:v>
      </x:c>
      <x:c r="G28" s="24" t="n">
        <x:v>0.07</x:v>
      </x:c>
      <x:c r="H28" s="24" t="n">
        <x:v>0.06</x:v>
      </x:c>
      <x:c r="I28" s="2"/>
      <x:c r="J28" s="13"/>
      <x:c r="K28" s="13"/>
      <x:c r="L28" s="13"/>
    </x:row>
    <x:row r="29" ht="23" customHeight="1">
      <x:c r="A29" s="2"/>
      <x:c r="B29" s="2"/>
      <x:c r="C29" s="2"/>
      <x:c r="D29" s="2" t="str">
        <x:v>확장</x:v>
      </x:c>
      <x:c r="E29" s="2"/>
      <x:c r="F29" s="24" t="n">
        <x:v>0.05</x:v>
      </x:c>
      <x:c r="G29" s="24" t="n">
        <x:v>0.04</x:v>
      </x:c>
      <x:c r="H29" s="24" t="n">
        <x:v>0.03</x:v>
      </x:c>
      <x:c r="I29" s="2"/>
      <x:c r="J29" s="13"/>
      <x:c r="K29" s="13"/>
      <x:c r="L29" s="13"/>
    </x:row>
    <x:row r="30" ht="23" customHeight="1">
      <x:c r="A30" s="2"/>
      <x:c r="B30" s="2"/>
      <x:c r="C30" s="19" t="str">
        <x:v>첫 리필 유료 참여율</x:v>
      </x:c>
      <x:c r="D30" s="19" t="str">
        <x:v>적용</x:v>
      </x:c>
      <x:c r="E30" s="19" t="str">
        <x:v>%</x:v>
      </x:c>
      <x:c r="F30" s="23" t="n">
        <x:f>IF(CHOOSE($F$4,COUNT(F31),COUNT(F32),COUNT(F33))=0,"미입력",CHOOSE($F$4,F31,F32,F33))</x:f>
        <x:v>0.25</x:v>
      </x:c>
      <x:c r="G30" s="23" t="n">
        <x:f>IF(CHOOSE($F$4,COUNT(G31),COUNT(G32),COUNT(G33))=0,"미입력",CHOOSE($F$4,G31,G32,G33))</x:f>
        <x:v>0.3</x:v>
      </x:c>
      <x:c r="H30" s="23" t="n">
        <x:f>IF(CHOOSE($F$4,COUNT(H31),COUNT(H32),COUNT(H33))=0,"미입력",CHOOSE($F$4,H31,H32,H33))</x:f>
        <x:v>0.35</x:v>
      </x:c>
      <x:c r="I30" s="2"/>
      <x:c r="J30" s="13" t="str">
        <x:v>환불하지 않은 본체 고객 중 다음 달 처음 리필을 유료 구매하는 비율. 25%는 고객 100명 중 25명입니다. 구독 계약이나 확정 매출이 아닙니다. 구매 후 한 달을 지난 고객의 첫 리필 구매율로 확인하세요. A06</x:v>
      </x:c>
      <x:c r="K30" s="13"/>
      <x:c r="L30" s="13"/>
    </x:row>
    <x:row r="31" ht="23" customHeight="1">
      <x:c r="A31" s="2"/>
      <x:c r="B31" s="2"/>
      <x:c r="C31" s="2"/>
      <x:c r="D31" s="2" t="str">
        <x:v>보수</x:v>
      </x:c>
      <x:c r="E31" s="2"/>
      <x:c r="F31" s="24" t="n">
        <x:v>0.1</x:v>
      </x:c>
      <x:c r="G31" s="24" t="n">
        <x:v>0.12</x:v>
      </x:c>
      <x:c r="H31" s="24" t="n">
        <x:v>0.15</x:v>
      </x:c>
      <x:c r="I31" s="2"/>
      <x:c r="J31" s="13"/>
      <x:c r="K31" s="13"/>
      <x:c r="L31" s="13"/>
    </x:row>
    <x:row r="32" ht="23" customHeight="1">
      <x:c r="A32" s="2"/>
      <x:c r="B32" s="2"/>
      <x:c r="C32" s="2"/>
      <x:c r="D32" s="2" t="str">
        <x:v>기준</x:v>
      </x:c>
      <x:c r="E32" s="2"/>
      <x:c r="F32" s="24" t="n">
        <x:v>0.25</x:v>
      </x:c>
      <x:c r="G32" s="24" t="n">
        <x:v>0.3</x:v>
      </x:c>
      <x:c r="H32" s="24" t="n">
        <x:v>0.35</x:v>
      </x:c>
      <x:c r="I32" s="2"/>
      <x:c r="J32" s="13"/>
      <x:c r="K32" s="13"/>
      <x:c r="L32" s="13"/>
    </x:row>
    <x:row r="33" ht="23" customHeight="1">
      <x:c r="A33" s="2"/>
      <x:c r="B33" s="2"/>
      <x:c r="C33" s="2"/>
      <x:c r="D33" s="2" t="str">
        <x:v>확장</x:v>
      </x:c>
      <x:c r="E33" s="2"/>
      <x:c r="F33" s="24" t="n">
        <x:v>0.4</x:v>
      </x:c>
      <x:c r="G33" s="24" t="n">
        <x:v>0.45</x:v>
      </x:c>
      <x:c r="H33" s="24" t="n">
        <x:v>0.5</x:v>
      </x:c>
      <x:c r="I33" s="2"/>
      <x:c r="J33" s="13"/>
      <x:c r="K33" s="13"/>
      <x:c r="L33" s="13"/>
    </x:row>
    <x:row r="34" ht="23" customHeight="1">
      <x:c r="A34" s="2"/>
      <x:c r="B34" s="2"/>
      <x:c r="C34" s="19" t="str">
        <x:v>리필 구매자 월 유지율</x:v>
      </x:c>
      <x:c r="D34" s="19" t="str">
        <x:v>적용</x:v>
      </x:c>
      <x:c r="E34" s="19" t="str">
        <x:v>%</x:v>
      </x:c>
      <x:c r="F34" s="23" t="n">
        <x:f>IF(CHOOSE($F$4,COUNT(F35),COUNT(F36),COUNT(F37))=0,"미입력",CHOOSE($F$4,F35,F36,F37))</x:f>
        <x:v>0.9</x:v>
      </x:c>
      <x:c r="G34" s="23" t="n">
        <x:f>IF(CHOOSE($F$4,COUNT(G35),COUNT(G36),COUNT(G37))=0,"미입력",CHOOSE($F$4,G35,G36,G37))</x:f>
        <x:v>0.91</x:v>
      </x:c>
      <x:c r="H34" s="23" t="n">
        <x:f>IF(CHOOSE($F$4,COUNT(H35),COUNT(H36),COUNT(H37))=0,"미입력",CHOOSE($F$4,H35,H36,H37))</x:f>
        <x:v>0.92</x:v>
      </x:c>
      <x:c r="I34" s="2"/>
      <x:c r="J34" s="13" t="str">
        <x:v>지난달 리필을 산 사람이 이번 달에도 사는 비율. 90%이면 100명→90명→81명으로 줄어듭니다. 모든 본체 고객의 90%가 매달 산다는 뜻이 아닙니다. 구매 간격이 한 달보다 길면 이 모델의 월 반복구매 가정을 재검토하세요. A07</x:v>
      </x:c>
      <x:c r="K34" s="13"/>
      <x:c r="L34" s="13"/>
    </x:row>
    <x:row r="35" ht="23" customHeight="1">
      <x:c r="A35" s="2"/>
      <x:c r="B35" s="2"/>
      <x:c r="C35" s="2"/>
      <x:c r="D35" s="2" t="str">
        <x:v>보수</x:v>
      </x:c>
      <x:c r="E35" s="2"/>
      <x:c r="F35" s="24" t="n">
        <x:v>0.75</x:v>
      </x:c>
      <x:c r="G35" s="24" t="n">
        <x:v>0.78</x:v>
      </x:c>
      <x:c r="H35" s="24" t="n">
        <x:v>0.8</x:v>
      </x:c>
      <x:c r="I35" s="2"/>
      <x:c r="J35" s="13"/>
      <x:c r="K35" s="13"/>
      <x:c r="L35" s="13"/>
    </x:row>
    <x:row r="36" ht="23" customHeight="1">
      <x:c r="A36" s="2"/>
      <x:c r="B36" s="2"/>
      <x:c r="C36" s="2"/>
      <x:c r="D36" s="2" t="str">
        <x:v>기준</x:v>
      </x:c>
      <x:c r="E36" s="2"/>
      <x:c r="F36" s="24" t="n">
        <x:v>0.9</x:v>
      </x:c>
      <x:c r="G36" s="24" t="n">
        <x:v>0.91</x:v>
      </x:c>
      <x:c r="H36" s="24" t="n">
        <x:v>0.92</x:v>
      </x:c>
      <x:c r="I36" s="2"/>
      <x:c r="J36" s="13"/>
      <x:c r="K36" s="13"/>
      <x:c r="L36" s="13"/>
    </x:row>
    <x:row r="37" ht="23" customHeight="1">
      <x:c r="A37" s="2"/>
      <x:c r="B37" s="2"/>
      <x:c r="C37" s="2"/>
      <x:c r="D37" s="2" t="str">
        <x:v>확장</x:v>
      </x:c>
      <x:c r="E37" s="2"/>
      <x:c r="F37" s="24" t="n">
        <x:v>0.94</x:v>
      </x:c>
      <x:c r="G37" s="24" t="n">
        <x:v>0.95</x:v>
      </x:c>
      <x:c r="H37" s="24" t="n">
        <x:v>0.96</x:v>
      </x:c>
      <x:c r="I37" s="2"/>
      <x:c r="J37" s="13"/>
      <x:c r="K37" s="13"/>
      <x:c r="L37" s="13"/>
    </x:row>
    <x:row r="38" ht="23" customHeight="1">
      <x:c r="A38" s="2"/>
      <x:c r="B38" s="2"/>
      <x:c r="C38" s="19" t="str">
        <x:v>성숙 월 자연 유입</x:v>
      </x:c>
      <x:c r="D38" s="19" t="str">
        <x:v>적용</x:v>
      </x:c>
      <x:c r="E38" s="19" t="str">
        <x:v>명</x:v>
      </x:c>
      <x:c r="F38" s="21" t="n">
        <x:f>IF(CHOOSE($F$4,COUNT(F39),COUNT(F40),COUNT(F41))=0,"미입력",CHOOSE($F$4,F39,F40,F41))</x:f>
        <x:v>1000</x:v>
      </x:c>
      <x:c r="G38" s="21" t="n">
        <x:f>IF(CHOOSE($F$4,COUNT(G39),COUNT(G40),COUNT(G41))=0,"미입력",CHOOSE($F$4,G39,G40,G41))</x:f>
        <x:v>3000</x:v>
      </x:c>
      <x:c r="H38" s="21" t="n">
        <x:f>IF(CHOOSE($F$4,COUNT(H39),COUNT(H40),COUNT(H41))=0,"미입력",CHOOSE($F$4,H39,H40,H41))</x:f>
        <x:v>5000</x:v>
      </x:c>
      <x:c r="I38" s="2"/>
      <x:c r="J38" s="13" t="str">
        <x:v>광고 외 검색·콘텐츠·추천으로 오는 월 방문 수. 기준 1,000→3,000→5,000회는 유입 확대 계획이며 관측값이 아닙니다. 출시 첫 달 50%, 둘째 달 75%만 적용합니다. 콘텐츠 인건비·운영비는 별도 지출입니다. A08</x:v>
      </x:c>
      <x:c r="K38" s="13"/>
      <x:c r="L38" s="13"/>
    </x:row>
    <x:row r="39" ht="23" customHeight="1">
      <x:c r="A39" s="2"/>
      <x:c r="B39" s="2"/>
      <x:c r="C39" s="2"/>
      <x:c r="D39" s="2" t="str">
        <x:v>보수</x:v>
      </x:c>
      <x:c r="E39" s="2"/>
      <x:c r="F39" s="22" t="n">
        <x:v>500</x:v>
      </x:c>
      <x:c r="G39" s="22" t="n">
        <x:v>1000</x:v>
      </x:c>
      <x:c r="H39" s="22" t="n">
        <x:v>2000</x:v>
      </x:c>
      <x:c r="I39" s="2"/>
      <x:c r="J39" s="13"/>
      <x:c r="K39" s="13"/>
      <x:c r="L39" s="13"/>
    </x:row>
    <x:row r="40" ht="23" customHeight="1">
      <x:c r="A40" s="2"/>
      <x:c r="B40" s="2"/>
      <x:c r="C40" s="2"/>
      <x:c r="D40" s="2" t="str">
        <x:v>기준</x:v>
      </x:c>
      <x:c r="E40" s="2"/>
      <x:c r="F40" s="22" t="n">
        <x:v>1000</x:v>
      </x:c>
      <x:c r="G40" s="22" t="n">
        <x:v>3000</x:v>
      </x:c>
      <x:c r="H40" s="22" t="n">
        <x:v>5000</x:v>
      </x:c>
      <x:c r="I40" s="2"/>
      <x:c r="J40" s="13"/>
      <x:c r="K40" s="13"/>
      <x:c r="L40" s="13"/>
    </x:row>
    <x:row r="41" ht="23" customHeight="1">
      <x:c r="A41" s="2"/>
      <x:c r="B41" s="2"/>
      <x:c r="C41" s="2"/>
      <x:c r="D41" s="2" t="str">
        <x:v>확장</x:v>
      </x:c>
      <x:c r="E41" s="2"/>
      <x:c r="F41" s="22" t="n">
        <x:v>1500</x:v>
      </x:c>
      <x:c r="G41" s="22" t="n">
        <x:v>5000</x:v>
      </x:c>
      <x:c r="H41" s="22" t="n">
        <x:v>10000</x:v>
      </x:c>
      <x:c r="I41" s="2"/>
      <x:c r="J41" s="13"/>
      <x:c r="K41" s="13"/>
      <x:c r="L41" s="13"/>
    </x:row>
    <x:row r="42" ht="23" customHeight="1">
      <x:c r="A42" s="2"/>
      <x:c r="B42" s="2"/>
      <x:c r="C42" s="19" t="str">
        <x:v>성숙 월 광고비</x:v>
      </x:c>
      <x:c r="D42" s="19" t="str">
        <x:v>적용</x:v>
      </x:c>
      <x:c r="E42" s="19" t="str">
        <x:v>원</x:v>
      </x:c>
      <x:c r="F42" s="21" t="n">
        <x:f>IF(CHOOSE($F$4,COUNT(F43),COUNT(F44),COUNT(F45))=0,"미입력",CHOOSE($F$4,F43,F44,F45))</x:f>
        <x:v>2000000</x:v>
      </x:c>
      <x:c r="G42" s="21" t="n">
        <x:f>IF(CHOOSE($F$4,COUNT(G43),COUNT(G44),COUNT(G45))=0,"미입력",CHOOSE($F$4,G43,G44,G45))</x:f>
        <x:v>6000000</x:v>
      </x:c>
      <x:c r="H42" s="21" t="n">
        <x:f>IF(CHOOSE($F$4,COUNT(H43),COUNT(H44),COUNT(H45))=0,"미입력",CHOOSE($F$4,H43,H44,H45))</x:f>
        <x:v>12000000</x:v>
      </x:c>
      <x:c r="I42" s="2"/>
      <x:c r="J42" s="13" t="str">
        <x:v>판매가 안정된 달에 쓸 광고비. 기준 월 200만→600만→1,200만원은 예산 확대 계획입니다. 첫 출시월 50%, 다음 달 75%, 이후 100% 집행. 광고비÷CPC×전환율로 유료 출고를 계산하므로 판매량을 보장하지 않습니다. A09</x:v>
      </x:c>
      <x:c r="K42" s="13"/>
      <x:c r="L42" s="13"/>
    </x:row>
    <x:row r="43" ht="23" customHeight="1">
      <x:c r="A43" s="2"/>
      <x:c r="B43" s="2"/>
      <x:c r="C43" s="2"/>
      <x:c r="D43" s="2" t="str">
        <x:v>보수</x:v>
      </x:c>
      <x:c r="E43" s="2"/>
      <x:c r="F43" s="22" t="n">
        <x:v>1500000</x:v>
      </x:c>
      <x:c r="G43" s="22" t="n">
        <x:v>3000000</x:v>
      </x:c>
      <x:c r="H43" s="22" t="n">
        <x:v>5000000</x:v>
      </x:c>
      <x:c r="I43" s="2"/>
      <x:c r="J43" s="13"/>
      <x:c r="K43" s="13"/>
      <x:c r="L43" s="13"/>
    </x:row>
    <x:row r="44" ht="23" customHeight="1">
      <x:c r="A44" s="2"/>
      <x:c r="B44" s="2"/>
      <x:c r="C44" s="2"/>
      <x:c r="D44" s="2" t="str">
        <x:v>기준</x:v>
      </x:c>
      <x:c r="E44" s="2"/>
      <x:c r="F44" s="22" t="n">
        <x:v>2000000</x:v>
      </x:c>
      <x:c r="G44" s="22" t="n">
        <x:v>6000000</x:v>
      </x:c>
      <x:c r="H44" s="22" t="n">
        <x:v>12000000</x:v>
      </x:c>
      <x:c r="I44" s="2"/>
      <x:c r="J44" s="13"/>
      <x:c r="K44" s="13"/>
      <x:c r="L44" s="13"/>
    </x:row>
    <x:row r="45" ht="23" customHeight="1">
      <x:c r="A45" s="2"/>
      <x:c r="B45" s="2"/>
      <x:c r="C45" s="2"/>
      <x:c r="D45" s="2" t="str">
        <x:v>확장</x:v>
      </x:c>
      <x:c r="E45" s="2"/>
      <x:c r="F45" s="22" t="n">
        <x:v>3000000</x:v>
      </x:c>
      <x:c r="G45" s="22" t="n">
        <x:v>10000000</x:v>
      </x:c>
      <x:c r="H45" s="22" t="n">
        <x:v>25000000</x:v>
      </x:c>
      <x:c r="I45" s="2"/>
      <x:c r="J45" s="13"/>
      <x:c r="K45" s="13"/>
      <x:c r="L45" s="13"/>
    </x:row>
    <x:row r="46" ht="23" customHeight="1">
      <x:c r="A46" s="2"/>
      <x:c r="B46" s="2"/>
      <x:c r="C46" s="19" t="str">
        <x:v>첫 출시월 번호</x:v>
      </x:c>
      <x:c r="D46" s="19" t="str">
        <x:v>적용</x:v>
      </x:c>
      <x:c r="E46" s="19" t="str">
        <x:v>월</x:v>
      </x:c>
      <x:c r="F46" s="21" t="n">
        <x:f>IF(CHOOSE($F$4,COUNT(F47),COUNT(F48),COUNT(F49))=0,"미입력",CHOOSE($F$4,F47,F48,F49))</x:f>
        <x:v>7</x:v>
      </x:c>
      <x:c r="G46" s="21" t="n">
        <x:f>IF(CHOOSE($F$4,COUNT(G47),COUNT(G48),COUNT(G49))=0,"미입력",CHOOSE($F$4,G47,G48,G49))</x:f>
        <x:v>7</x:v>
      </x:c>
      <x:c r="H46" s="21" t="n">
        <x:f>IF(CHOOSE($F$4,COUNT(H47),COUNT(H48),COUNT(H49))=0,"미입력",CHOOSE($F$4,H47,H48,H49))</x:f>
        <x:v>7</x:v>
      </x:c>
      <x:c r="I46" s="2"/>
      <x:c r="J46" s="13" t="str">
        <x:v>시작월을 1로 세었을 때 처음 판매하는 달. 시작월 2027년 1월, 입력 7이면 2027년 7월 출시입니다. 보수 10 / 기준 7 / 확장 5는 일정 가정입니다. F열만 수정하며 G·H는 연결값입니다. 개발·인허가 완료를 확인하세요. A10</x:v>
      </x:c>
      <x:c r="K46" s="13"/>
      <x:c r="L46" s="13"/>
    </x:row>
    <x:row r="47" ht="23" customHeight="1">
      <x:c r="A47" s="2"/>
      <x:c r="B47" s="2"/>
      <x:c r="C47" s="2"/>
      <x:c r="D47" s="2" t="str">
        <x:v>보수</x:v>
      </x:c>
      <x:c r="E47" s="2"/>
      <x:c r="F47" s="22" t="n">
        <x:v>10</x:v>
      </x:c>
      <x:c r="G47" s="26" t="n">
        <x:f>F47</x:f>
        <x:v>10</x:v>
      </x:c>
      <x:c r="H47" s="26" t="n">
        <x:f>F47</x:f>
        <x:v>10</x:v>
      </x:c>
      <x:c r="I47" s="2"/>
      <x:c r="J47" s="13"/>
      <x:c r="K47" s="13"/>
      <x:c r="L47" s="13"/>
    </x:row>
    <x:row r="48" ht="23" customHeight="1">
      <x:c r="A48" s="2"/>
      <x:c r="B48" s="2"/>
      <x:c r="C48" s="2"/>
      <x:c r="D48" s="2" t="str">
        <x:v>기준</x:v>
      </x:c>
      <x:c r="E48" s="2"/>
      <x:c r="F48" s="22" t="n">
        <x:v>7</x:v>
      </x:c>
      <x:c r="G48" s="26" t="n">
        <x:f>F48</x:f>
        <x:v>7</x:v>
      </x:c>
      <x:c r="H48" s="26" t="n">
        <x:f>F48</x:f>
        <x:v>7</x:v>
      </x:c>
      <x:c r="I48" s="2"/>
      <x:c r="J48" s="13"/>
      <x:c r="K48" s="13"/>
      <x:c r="L48" s="13"/>
    </x:row>
    <x:row r="49" ht="23" customHeight="1">
      <x:c r="A49" s="2"/>
      <x:c r="B49" s="2"/>
      <x:c r="C49" s="2"/>
      <x:c r="D49" s="2" t="str">
        <x:v>확장</x:v>
      </x:c>
      <x:c r="E49" s="2"/>
      <x:c r="F49" s="22" t="n">
        <x:v>5</x:v>
      </x:c>
      <x:c r="G49" s="26" t="n">
        <x:f>F49</x:f>
        <x:v>5</x:v>
      </x:c>
      <x:c r="H49" s="26" t="n">
        <x:f>F49</x:f>
        <x:v>5</x:v>
      </x:c>
      <x:c r="I49" s="2"/>
      <x:c r="J49" s="13"/>
      <x:c r="K49" s="13"/>
      <x:c r="L49" s="13"/>
    </x:row>
    <x:row r="50" ht="23" customHeight="1">
      <x:c r="A50" s="2"/>
      <x:c r="B50" s="2"/>
      <x:c r="C50" s="19" t="str">
        <x:v>리테일 성숙 월 잠재 출고</x:v>
      </x:c>
      <x:c r="D50" s="19" t="str">
        <x:v>적용</x:v>
      </x:c>
      <x:c r="E50" s="19" t="str">
        <x:v>개</x:v>
      </x:c>
      <x:c r="F50" s="21" t="n">
        <x:f>IF(CHOOSE($F$4,COUNT(F51),COUNT(F52),COUNT(F53))=0,"미입력",CHOOSE($F$4,F51,F52,F53))</x:f>
        <x:v>0</x:v>
      </x:c>
      <x:c r="G50" s="21" t="n">
        <x:f>IF(CHOOSE($F$4,COUNT(G51),COUNT(G52),COUNT(G53))=0,"미입력",CHOOSE($F$4,G51,G52,G53))</x:f>
        <x:v>100</x:v>
      </x:c>
      <x:c r="H50" s="21" t="n">
        <x:f>IF(CHOOSE($F$4,COUNT(H51),COUNT(H52),COUNT(H53))=0,"미입력",CHOOSE($F$4,H51,H52,H53))</x:f>
        <x:v>300</x:v>
      </x:c>
      <x:c r="I50" s="2"/>
      <x:c r="J50" s="13" t="str">
        <x:v>매장·유통사에 월 납품할 잠재 수량. 아래 F95가 0이면 이 숫자가 있어도 출고·매출은 0입니다. F95=1일 때만 초기 집행 비중을 곱해 반영합니다. 계약 전 수량은 판매 확정치가 아닙니다. A11</x:v>
      </x:c>
      <x:c r="K50" s="13"/>
      <x:c r="L50" s="13"/>
    </x:row>
    <x:row r="51" ht="23" customHeight="1">
      <x:c r="A51" s="2"/>
      <x:c r="B51" s="2"/>
      <x:c r="C51" s="2"/>
      <x:c r="D51" s="2" t="str">
        <x:v>보수</x:v>
      </x:c>
      <x:c r="E51" s="2"/>
      <x:c r="F51" s="22" t="n">
        <x:v>0</x:v>
      </x:c>
      <x:c r="G51" s="22" t="n">
        <x:v>0</x:v>
      </x:c>
      <x:c r="H51" s="22" t="n">
        <x:v>100</x:v>
      </x:c>
      <x:c r="I51" s="2"/>
      <x:c r="J51" s="13"/>
      <x:c r="K51" s="13"/>
      <x:c r="L51" s="13"/>
    </x:row>
    <x:row r="52" ht="23" customHeight="1">
      <x:c r="A52" s="2"/>
      <x:c r="B52" s="2"/>
      <x:c r="C52" s="2"/>
      <x:c r="D52" s="2" t="str">
        <x:v>기준</x:v>
      </x:c>
      <x:c r="E52" s="2"/>
      <x:c r="F52" s="22" t="n">
        <x:v>0</x:v>
      </x:c>
      <x:c r="G52" s="22" t="n">
        <x:v>100</x:v>
      </x:c>
      <x:c r="H52" s="22" t="n">
        <x:v>300</x:v>
      </x:c>
      <x:c r="I52" s="2"/>
      <x:c r="J52" s="13"/>
      <x:c r="K52" s="13"/>
      <x:c r="L52" s="13"/>
    </x:row>
    <x:row r="53" ht="23" customHeight="1">
      <x:c r="A53" s="2"/>
      <x:c r="B53" s="2"/>
      <x:c r="C53" s="2"/>
      <x:c r="D53" s="2" t="str">
        <x:v>확장</x:v>
      </x:c>
      <x:c r="E53" s="2"/>
      <x:c r="F53" s="22" t="n">
        <x:v>0</x:v>
      </x:c>
      <x:c r="G53" s="22" t="n">
        <x:v>200</x:v>
      </x:c>
      <x:c r="H53" s="22" t="n">
        <x:v>800</x:v>
      </x:c>
      <x:c r="I53" s="2"/>
      <x:c r="J53" s="13"/>
      <x:c r="K53" s="13"/>
      <x:c r="L53" s="13"/>
    </x:row>
    <x:row r="54" ht="23" customHeight="1">
      <x:c r="A54" s="2"/>
      <x:c r="B54" s="2"/>
      <x:c r="C54" s="19" t="str">
        <x:v>리테일 공급가 비율</x:v>
      </x:c>
      <x:c r="D54" s="19" t="str">
        <x:v>적용</x:v>
      </x:c>
      <x:c r="E54" s="19" t="str">
        <x:v>%</x:v>
      </x:c>
      <x:c r="F54" s="23" t="n">
        <x:f>IF(CHOOSE($F$4,COUNT(F55),COUNT(F56),COUNT(F57))=0,"미입력",CHOOSE($F$4,F55,F56,F57))</x:f>
        <x:v>0.6</x:v>
      </x:c>
      <x:c r="G54" s="23" t="n">
        <x:f>IF(CHOOSE($F$4,COUNT(G55),COUNT(G56),COUNT(G57))=0,"미입력",CHOOSE($F$4,G55,G56,G57))</x:f>
        <x:v>0.6</x:v>
      </x:c>
      <x:c r="H54" s="23" t="n">
        <x:f>IF(CHOOSE($F$4,COUNT(H55),COUNT(H56),COUNT(H57))=0,"미입력",CHOOSE($F$4,H55,H56,H57))</x:f>
        <x:v>0.6</x:v>
      </x:c>
      <x:c r="I54" s="2"/>
      <x:c r="J54" s="13" t="str">
        <x:v>VAT 제외 본체 판매가 중 당사가 납품 대금으로 받는 비율. 기준 60%이면 149,000÷1.1×60%=약 81,273원입니다. 매장 소비자가를 당사 매출로 잡지 않습니다. 유통 계약의 실제 공급가로 확인하세요. A12</x:v>
      </x:c>
      <x:c r="K54" s="13"/>
      <x:c r="L54" s="13"/>
    </x:row>
    <x:row r="55" ht="23" customHeight="1">
      <x:c r="A55" s="2"/>
      <x:c r="B55" s="2"/>
      <x:c r="C55" s="2"/>
      <x:c r="D55" s="2" t="str">
        <x:v>보수</x:v>
      </x:c>
      <x:c r="E55" s="2"/>
      <x:c r="F55" s="24" t="n">
        <x:v>0.55</x:v>
      </x:c>
      <x:c r="G55" s="24" t="n">
        <x:v>0.55</x:v>
      </x:c>
      <x:c r="H55" s="24" t="n">
        <x:v>0.55</x:v>
      </x:c>
      <x:c r="I55" s="2"/>
      <x:c r="J55" s="13"/>
      <x:c r="K55" s="13"/>
      <x:c r="L55" s="13"/>
    </x:row>
    <x:row r="56" ht="23" customHeight="1">
      <x:c r="A56" s="2"/>
      <x:c r="B56" s="2"/>
      <x:c r="C56" s="2"/>
      <x:c r="D56" s="2" t="str">
        <x:v>기준</x:v>
      </x:c>
      <x:c r="E56" s="2"/>
      <x:c r="F56" s="24" t="n">
        <x:v>0.6</x:v>
      </x:c>
      <x:c r="G56" s="24" t="n">
        <x:v>0.6</x:v>
      </x:c>
      <x:c r="H56" s="24" t="n">
        <x:v>0.6</x:v>
      </x:c>
      <x:c r="I56" s="2"/>
      <x:c r="J56" s="13"/>
      <x:c r="K56" s="13"/>
      <x:c r="L56" s="13"/>
    </x:row>
    <x:row r="57" ht="23" customHeight="1">
      <x:c r="A57" s="2"/>
      <x:c r="B57" s="2"/>
      <x:c r="C57" s="2"/>
      <x:c r="D57" s="2" t="str">
        <x:v>확장</x:v>
      </x:c>
      <x:c r="E57" s="2"/>
      <x:c r="F57" s="24" t="n">
        <x:v>0.65</x:v>
      </x:c>
      <x:c r="G57" s="24" t="n">
        <x:v>0.65</x:v>
      </x:c>
      <x:c r="H57" s="24" t="n">
        <x:v>0.65</x:v>
      </x:c>
      <x:c r="I57" s="2"/>
      <x:c r="J57" s="13"/>
      <x:c r="K57" s="13"/>
      <x:c r="L57" s="13"/>
    </x:row>
    <x:row r="58" ht="23" customHeight="1">
      <x:c r="A58" s="2"/>
      <x:c r="B58" s="2"/>
      <x:c r="C58" s="19" t="str">
        <x:v>경제적 인력 규모</x:v>
      </x:c>
      <x:c r="D58" s="19" t="str">
        <x:v>적용</x:v>
      </x:c>
      <x:c r="E58" s="19" t="str">
        <x:v>명</x:v>
      </x:c>
      <x:c r="F58" s="21" t="n">
        <x:f>IF(CHOOSE($F$4,COUNT(F59),COUNT(F60),COUNT(F61))=0,"미입력",CHOOSE($F$4,F59,F60,F61))</x:f>
        <x:v>3</x:v>
      </x:c>
      <x:c r="G58" s="21" t="n">
        <x:f>IF(CHOOSE($F$4,COUNT(G59),COUNT(G60),COUNT(G61))=0,"미입력",CHOOSE($F$4,G59,G60,G61))</x:f>
        <x:v>3</x:v>
      </x:c>
      <x:c r="H58" s="21" t="n">
        <x:f>IF(CHOOSE($F$4,COUNT(H59),COUNT(H60),COUNT(H61))=0,"미입력",CHOOSE($F$4,H59,H60,H61))</x:f>
        <x:v>4</x:v>
      </x:c>
      <x:c r="I58" s="2"/>
      <x:c r="J58" s="13" t="str">
        <x:v>사업에 투입할 인원 수. 기준 3명·3명·4명은 채용 계획이지 확정 인원이 아닙니다. 판매 전 준비기간에도 매달 인건비를 계산합니다. 실제 전담 인원과 투입 계획으로 바꾸세요. A13</x:v>
      </x:c>
      <x:c r="K58" s="13"/>
      <x:c r="L58" s="13"/>
    </x:row>
    <x:row r="59" ht="23" customHeight="1">
      <x:c r="A59" s="2"/>
      <x:c r="B59" s="2"/>
      <x:c r="C59" s="2"/>
      <x:c r="D59" s="2" t="str">
        <x:v>보수</x:v>
      </x:c>
      <x:c r="E59" s="2"/>
      <x:c r="F59" s="22" t="n">
        <x:v>3</x:v>
      </x:c>
      <x:c r="G59" s="22" t="n">
        <x:v>3</x:v>
      </x:c>
      <x:c r="H59" s="22" t="n">
        <x:v>3</x:v>
      </x:c>
      <x:c r="I59" s="2"/>
      <x:c r="J59" s="13"/>
      <x:c r="K59" s="13"/>
      <x:c r="L59" s="13"/>
    </x:row>
    <x:row r="60" ht="23" customHeight="1">
      <x:c r="A60" s="2"/>
      <x:c r="B60" s="2"/>
      <x:c r="C60" s="2"/>
      <x:c r="D60" s="2" t="str">
        <x:v>기준</x:v>
      </x:c>
      <x:c r="E60" s="2"/>
      <x:c r="F60" s="22" t="n">
        <x:v>3</x:v>
      </x:c>
      <x:c r="G60" s="22" t="n">
        <x:v>3</x:v>
      </x:c>
      <x:c r="H60" s="22" t="n">
        <x:v>4</x:v>
      </x:c>
      <x:c r="I60" s="2"/>
      <x:c r="J60" s="13"/>
      <x:c r="K60" s="13"/>
      <x:c r="L60" s="13"/>
    </x:row>
    <x:row r="61" ht="23" customHeight="1">
      <x:c r="A61" s="2"/>
      <x:c r="B61" s="2"/>
      <x:c r="C61" s="2"/>
      <x:c r="D61" s="2" t="str">
        <x:v>확장</x:v>
      </x:c>
      <x:c r="E61" s="2"/>
      <x:c r="F61" s="22" t="n">
        <x:v>3</x:v>
      </x:c>
      <x:c r="G61" s="22" t="n">
        <x:v>4</x:v>
      </x:c>
      <x:c r="H61" s="22" t="n">
        <x:v>6</x:v>
      </x:c>
      <x:c r="I61" s="2"/>
      <x:c r="J61" s="13"/>
      <x:c r="K61" s="13"/>
      <x:c r="L61" s="13"/>
    </x:row>
    <x:row r="62" ht="23" customHeight="1">
      <x:c r="A62" s="2"/>
      <x:c r="B62" s="2"/>
      <x:c r="C62" s="19" t="str">
        <x:v>인당 월 총인건비</x:v>
      </x:c>
      <x:c r="D62" s="19" t="str">
        <x:v>적용</x:v>
      </x:c>
      <x:c r="E62" s="19" t="str">
        <x:v>원</x:v>
      </x:c>
      <x:c r="F62" s="21" t="n">
        <x:f>IF(CHOOSE($F$4,COUNT(F63),COUNT(F64),COUNT(F65))=0,"미입력",CHOOSE($F$4,F63,F64,F65))</x:f>
        <x:v>4500000</x:v>
      </x:c>
      <x:c r="G62" s="21" t="n">
        <x:f>IF(CHOOSE($F$4,COUNT(G63),COUNT(G64),COUNT(G65))=0,"미입력",CHOOSE($F$4,G63,G64,G65))</x:f>
        <x:v>4700000</x:v>
      </x:c>
      <x:c r="H62" s="21" t="n">
        <x:f>IF(CHOOSE($F$4,COUNT(H63),COUNT(H64),COUNT(H65))=0,"미입력",CHOOSE($F$4,H63,H64,H65))</x:f>
        <x:v>5000000</x:v>
      </x:c>
      <x:c r="I62" s="2"/>
      <x:c r="J62" s="13" t="str">
        <x:v>1명에게 한 달 동안 드는 회사 총인건비. 450만·470만·500만원은 급여 실측이 아닌 계획값입니다. 3명×450만원=월 1,350만원입니다. 회사가 지원해도 손익에는 전액, 현금에는 F107의 지원 비율을 반영합니다. A14</x:v>
      </x:c>
      <x:c r="K62" s="13"/>
      <x:c r="L62" s="13"/>
    </x:row>
    <x:row r="63" ht="23" customHeight="1">
      <x:c r="A63" s="2"/>
      <x:c r="B63" s="2"/>
      <x:c r="C63" s="2"/>
      <x:c r="D63" s="2" t="str">
        <x:v>보수</x:v>
      </x:c>
      <x:c r="E63" s="2"/>
      <x:c r="F63" s="22" t="n">
        <x:v>4500000</x:v>
      </x:c>
      <x:c r="G63" s="22" t="n">
        <x:v>4700000</x:v>
      </x:c>
      <x:c r="H63" s="22" t="n">
        <x:v>5000000</x:v>
      </x:c>
      <x:c r="I63" s="2"/>
      <x:c r="J63" s="13"/>
      <x:c r="K63" s="13"/>
      <x:c r="L63" s="13"/>
    </x:row>
    <x:row r="64" ht="23" customHeight="1">
      <x:c r="A64" s="2"/>
      <x:c r="B64" s="2"/>
      <x:c r="C64" s="2"/>
      <x:c r="D64" s="2" t="str">
        <x:v>기준</x:v>
      </x:c>
      <x:c r="E64" s="2"/>
      <x:c r="F64" s="22" t="n">
        <x:v>4500000</x:v>
      </x:c>
      <x:c r="G64" s="22" t="n">
        <x:v>4700000</x:v>
      </x:c>
      <x:c r="H64" s="22" t="n">
        <x:v>5000000</x:v>
      </x:c>
      <x:c r="I64" s="2"/>
      <x:c r="J64" s="13"/>
      <x:c r="K64" s="13"/>
      <x:c r="L64" s="13"/>
    </x:row>
    <x:row r="65" ht="23" customHeight="1">
      <x:c r="A65" s="2"/>
      <x:c r="B65" s="2"/>
      <x:c r="C65" s="2"/>
      <x:c r="D65" s="2" t="str">
        <x:v>확장</x:v>
      </x:c>
      <x:c r="E65" s="2"/>
      <x:c r="F65" s="22" t="n">
        <x:v>4500000</x:v>
      </x:c>
      <x:c r="G65" s="22" t="n">
        <x:v>4700000</x:v>
      </x:c>
      <x:c r="H65" s="22" t="n">
        <x:v>5000000</x:v>
      </x:c>
      <x:c r="I65" s="2"/>
      <x:c r="J65" s="13"/>
      <x:c r="K65" s="13"/>
      <x:c r="L65" s="13"/>
    </x:row>
    <x:row r="66" ht="23" customHeight="1">
      <x:c r="A66" s="2"/>
      <x:c r="B66" s="2"/>
      <x:c r="C66" s="19" t="str">
        <x:v>월 고정 운영비</x:v>
      </x:c>
      <x:c r="D66" s="19" t="str">
        <x:v>적용</x:v>
      </x:c>
      <x:c r="E66" s="19" t="str">
        <x:v>원</x:v>
      </x:c>
      <x:c r="F66" s="21" t="n">
        <x:f>IF(CHOOSE($F$4,COUNT(F67),COUNT(F68),COUNT(F69))=0,"미입력",CHOOSE($F$4,F67,F68,F69))</x:f>
        <x:v>2000000</x:v>
      </x:c>
      <x:c r="G66" s="21" t="n">
        <x:f>IF(CHOOSE($F$4,COUNT(G67),COUNT(G68),COUNT(G69))=0,"미입력",CHOOSE($F$4,G67,G68,G69))</x:f>
        <x:v>3000000</x:v>
      </x:c>
      <x:c r="H66" s="21" t="n">
        <x:f>IF(CHOOSE($F$4,COUNT(H67),COUNT(H68),COUNT(H69))=0,"미입력",CHOOSE($F$4,H67,H68,H69))</x:f>
        <x:v>4000000</x:v>
      </x:c>
      <x:c r="I66" s="2"/>
      <x:c r="J66" s="13" t="str">
        <x:v>판매량과 별개로 매달 발생하는 공간·시스템·회계·콘텐츠 등 비용. 기준 월 200만·300만·400만원은 예산입니다. 광고비·배송비·인건비·R&amp;D는 별도이므로 중복 포함하지 마세요. 실제 항목별 예산 합계로 교체하세요. A15</x:v>
      </x:c>
      <x:c r="K66" s="13"/>
      <x:c r="L66" s="13"/>
    </x:row>
    <x:row r="67" ht="23" customHeight="1">
      <x:c r="A67" s="2"/>
      <x:c r="B67" s="2"/>
      <x:c r="C67" s="2"/>
      <x:c r="D67" s="2" t="str">
        <x:v>보수</x:v>
      </x:c>
      <x:c r="E67" s="2"/>
      <x:c r="F67" s="22" t="n">
        <x:v>2000000</x:v>
      </x:c>
      <x:c r="G67" s="22" t="n">
        <x:v>2500000</x:v>
      </x:c>
      <x:c r="H67" s="22" t="n">
        <x:v>3000000</x:v>
      </x:c>
      <x:c r="I67" s="2"/>
      <x:c r="J67" s="13"/>
      <x:c r="K67" s="13"/>
      <x:c r="L67" s="13"/>
    </x:row>
    <x:row r="68" ht="23" customHeight="1">
      <x:c r="A68" s="2"/>
      <x:c r="B68" s="2"/>
      <x:c r="C68" s="2"/>
      <x:c r="D68" s="2" t="str">
        <x:v>기준</x:v>
      </x:c>
      <x:c r="E68" s="2"/>
      <x:c r="F68" s="22" t="n">
        <x:v>2000000</x:v>
      </x:c>
      <x:c r="G68" s="22" t="n">
        <x:v>3000000</x:v>
      </x:c>
      <x:c r="H68" s="22" t="n">
        <x:v>4000000</x:v>
      </x:c>
      <x:c r="I68" s="2"/>
      <x:c r="J68" s="13"/>
      <x:c r="K68" s="13"/>
      <x:c r="L68" s="13"/>
    </x:row>
    <x:row r="69" ht="23" customHeight="1">
      <x:c r="A69" s="2"/>
      <x:c r="B69" s="2"/>
      <x:c r="C69" s="2"/>
      <x:c r="D69" s="2" t="str">
        <x:v>확장</x:v>
      </x:c>
      <x:c r="E69" s="2"/>
      <x:c r="F69" s="22" t="n">
        <x:v>2000000</x:v>
      </x:c>
      <x:c r="G69" s="22" t="n">
        <x:v>4000000</x:v>
      </x:c>
      <x:c r="H69" s="22" t="n">
        <x:v>6000000</x:v>
      </x:c>
      <x:c r="I69" s="2"/>
      <x:c r="J69" s="13"/>
      <x:c r="K69" s="13"/>
      <x:c r="L69" s="13"/>
    </x:row>
    <x:row r="70" ht="23" customHeight="1">
      <x:c r="A70" s="2"/>
      <x:c r="B70" s="2"/>
      <x:c r="C70" s="19" t="str">
        <x:v>리필 24개팩 실결제가</x:v>
      </x:c>
      <x:c r="D70" s="19" t="str">
        <x:v>적용</x:v>
      </x:c>
      <x:c r="E70" s="19" t="str">
        <x:v>원</x:v>
      </x:c>
      <x:c r="F70" s="21" t="n">
        <x:f>IF(CHOOSE($F$4,COUNT(F71),COUNT(F72),COUNT(F73))=0,"미입력",CHOOSE($F$4,F71,F72,F73))</x:f>
        <x:v>12900</x:v>
      </x:c>
      <x:c r="G70" s="21" t="n">
        <x:f>IF(CHOOSE($F$4,COUNT(G71),COUNT(G72),COUNT(G73))=0,"미입력",CHOOSE($F$4,G71,G72,G73))</x:f>
        <x:v>12900</x:v>
      </x:c>
      <x:c r="H70" s="21" t="n">
        <x:f>IF(CHOOSE($F$4,COUNT(H71),COUNT(H72),COUNT(H73))=0,"미입력",CHOOSE($F$4,H71,H72,H73))</x:f>
        <x:v>12900</x:v>
      </x:c>
      <x:c r="I70" s="2"/>
      <x:c r="J70" s="13" t="str">
        <x:v>리필 한 팩(24개)에 고객이 실제 결제하는 가격(VAT 포함). 기준 12,900원은 검증 전 가격입니다. 한쪽 발목에 3개 사용하면 8회분입니다. 실제 사용 빈도·재사용 여부가 월 구매를 뒷받침하는지 확인해야 합니다. A16</x:v>
      </x:c>
      <x:c r="K70" s="13"/>
      <x:c r="L70" s="13"/>
    </x:row>
    <x:row r="71" ht="23" customHeight="1">
      <x:c r="A71" s="2"/>
      <x:c r="B71" s="2"/>
      <x:c r="C71" s="2"/>
      <x:c r="D71" s="2" t="str">
        <x:v>보수</x:v>
      </x:c>
      <x:c r="E71" s="2"/>
      <x:c r="F71" s="22" t="n">
        <x:v>9900</x:v>
      </x:c>
      <x:c r="G71" s="22" t="n">
        <x:v>9900</x:v>
      </x:c>
      <x:c r="H71" s="22" t="n">
        <x:v>9900</x:v>
      </x:c>
      <x:c r="I71" s="2"/>
      <x:c r="J71" s="13"/>
      <x:c r="K71" s="13"/>
      <x:c r="L71" s="13"/>
    </x:row>
    <x:row r="72" ht="23" customHeight="1">
      <x:c r="A72" s="2"/>
      <x:c r="B72" s="2"/>
      <x:c r="C72" s="2"/>
      <x:c r="D72" s="2" t="str">
        <x:v>기준</x:v>
      </x:c>
      <x:c r="E72" s="2"/>
      <x:c r="F72" s="22" t="n">
        <x:v>12900</x:v>
      </x:c>
      <x:c r="G72" s="22" t="n">
        <x:v>12900</x:v>
      </x:c>
      <x:c r="H72" s="22" t="n">
        <x:v>12900</x:v>
      </x:c>
      <x:c r="I72" s="2"/>
      <x:c r="J72" s="13"/>
      <x:c r="K72" s="13"/>
      <x:c r="L72" s="13"/>
    </x:row>
    <x:row r="73" ht="23" customHeight="1">
      <x:c r="A73" s="2"/>
      <x:c r="B73" s="2"/>
      <x:c r="C73" s="2"/>
      <x:c r="D73" s="2" t="str">
        <x:v>확장</x:v>
      </x:c>
      <x:c r="E73" s="2"/>
      <x:c r="F73" s="22" t="n">
        <x:v>14900</x:v>
      </x:c>
      <x:c r="G73" s="22" t="n">
        <x:v>14900</x:v>
      </x:c>
      <x:c r="H73" s="22" t="n">
        <x:v>14900</x:v>
      </x:c>
      <x:c r="I73" s="2"/>
      <x:c r="J73" s="13"/>
      <x:c r="K73" s="13"/>
      <x:c r="L73" s="13"/>
    </x:row>
    <x:row r="74" ht="23" customHeight="1">
      <x:c r="A74" s="2"/>
      <x:c r="B74" s="2"/>
      <x:c r="C74" s="19" t="str">
        <x:v>리필 24개팩 원가</x:v>
      </x:c>
      <x:c r="D74" s="19" t="str">
        <x:v>적용</x:v>
      </x:c>
      <x:c r="E74" s="19" t="str">
        <x:v>원</x:v>
      </x:c>
      <x:c r="F74" s="21" t="n">
        <x:f>IF(CHOOSE($F$4,COUNT(F75),COUNT(F76),COUNT(F77))=0,"미입력",CHOOSE($F$4,F75,F76,F77))</x:f>
        <x:v>3500</x:v>
      </x:c>
      <x:c r="G74" s="21" t="n">
        <x:f>IF(CHOOSE($F$4,COUNT(G75),COUNT(G76),COUNT(G77))=0,"미입력",CHOOSE($F$4,G75,G76,G77))</x:f>
        <x:v>3200</x:v>
      </x:c>
      <x:c r="H74" s="21" t="n">
        <x:f>IF(CHOOSE($F$4,COUNT(H75),COUNT(H76),COUNT(H77))=0,"미입력",CHOOSE($F$4,H75,H76,H77))</x:f>
        <x:v>3000</x:v>
      </x:c>
      <x:c r="I74" s="2"/>
      <x:c r="J74" s="13" t="str">
        <x:v>리필 한 팩의 제조·포장 원가(VAT 제외). 기준 3,500→3,200→3,000원은 미확인 견적 가정이며 배송비 3,000원은 별도입니다. 실제 공급 견적과 패치·볼 재사용 정책을 확정한 뒤 수정하세요. A17</x:v>
      </x:c>
      <x:c r="K74" s="13"/>
      <x:c r="L74" s="13"/>
    </x:row>
    <x:row r="75" ht="23" customHeight="1">
      <x:c r="A75" s="2"/>
      <x:c r="B75" s="2"/>
      <x:c r="C75" s="2"/>
      <x:c r="D75" s="2" t="str">
        <x:v>보수</x:v>
      </x:c>
      <x:c r="E75" s="2"/>
      <x:c r="F75" s="22" t="n">
        <x:v>4500</x:v>
      </x:c>
      <x:c r="G75" s="22" t="n">
        <x:v>4300</x:v>
      </x:c>
      <x:c r="H75" s="22" t="n">
        <x:v>4000</x:v>
      </x:c>
      <x:c r="I75" s="2"/>
      <x:c r="J75" s="13"/>
      <x:c r="K75" s="13"/>
      <x:c r="L75" s="13"/>
    </x:row>
    <x:row r="76" ht="23" customHeight="1">
      <x:c r="A76" s="2"/>
      <x:c r="B76" s="2"/>
      <x:c r="C76" s="2"/>
      <x:c r="D76" s="2" t="str">
        <x:v>기준</x:v>
      </x:c>
      <x:c r="E76" s="2"/>
      <x:c r="F76" s="22" t="n">
        <x:v>3500</x:v>
      </x:c>
      <x:c r="G76" s="22" t="n">
        <x:v>3200</x:v>
      </x:c>
      <x:c r="H76" s="22" t="n">
        <x:v>3000</x:v>
      </x:c>
      <x:c r="I76" s="2"/>
      <x:c r="J76" s="13"/>
      <x:c r="K76" s="13"/>
      <x:c r="L76" s="13"/>
    </x:row>
    <x:row r="77" ht="23" customHeight="1">
      <x:c r="A77" s="2"/>
      <x:c r="B77" s="2"/>
      <x:c r="C77" s="2"/>
      <x:c r="D77" s="2" t="str">
        <x:v>확장</x:v>
      </x:c>
      <x:c r="E77" s="2"/>
      <x:c r="F77" s="22" t="n">
        <x:v>2800</x:v>
      </x:c>
      <x:c r="G77" s="22" t="n">
        <x:v>2500</x:v>
      </x:c>
      <x:c r="H77" s="22" t="n">
        <x:v>2300</x:v>
      </x:c>
      <x:c r="I77" s="2"/>
      <x:c r="J77" s="13"/>
      <x:c r="K77" s="13"/>
      <x:c r="L77" s="13"/>
    </x:row>
    <x:row r="78" ht="23" customHeight="1">
      <x:c r="A78" s="2"/>
      <x:c r="B78" s="2"/>
      <x:c r="C78" s="2"/>
      <x:c r="D78" s="2"/>
      <x:c r="E78" s="2"/>
      <x:c r="F78" s="2"/>
      <x:c r="G78" s="2"/>
      <x:c r="H78" s="2"/>
      <x:c r="I78" s="2"/>
      <x:c r="J78" s="2"/>
      <x:c r="K78" s="2"/>
      <x:c r="L78" s="2"/>
    </x:row>
    <x:row r="79" ht="23" customHeight="1">
      <x:c r="A79" s="2"/>
      <x:c r="B79" s="2"/>
      <x:c r="C79" s="2"/>
      <x:c r="D79" s="2"/>
      <x:c r="E79" s="2"/>
      <x:c r="F79" s="2"/>
      <x:c r="G79" s="2"/>
      <x:c r="H79" s="2"/>
      <x:c r="I79" s="2"/>
      <x:c r="J79" s="2"/>
      <x:c r="K79" s="2"/>
      <x:c r="L79" s="2"/>
    </x:row>
    <x:row r="80" ht="23" customHeight="1">
      <x:c r="A80" s="2"/>
      <x:c r="B80" s="2"/>
      <x:c r="C80" s="19" t="str">
        <x:v>공통 입력 · 선택한 시나리오와 관계없이 적용</x:v>
      </x:c>
      <x:c r="D80" s="19"/>
      <x:c r="E80" s="19"/>
      <x:c r="F80" s="19"/>
      <x:c r="G80" s="19"/>
      <x:c r="H80" s="19"/>
      <x:c r="I80" s="19"/>
      <x:c r="J80" s="19"/>
      <x:c r="K80" s="19"/>
      <x:c r="L80" s="19"/>
    </x:row>
    <x:row r="81" ht="23" customHeight="1">
      <x:c r="A81" s="2"/>
      <x:c r="B81" s="2"/>
      <x:c r="C81" s="2"/>
      <x:c r="D81" s="2"/>
      <x:c r="E81" s="2"/>
      <x:c r="F81" s="2"/>
      <x:c r="G81" s="2"/>
      <x:c r="H81" s="2"/>
      <x:c r="I81" s="2"/>
      <x:c r="J81" s="2"/>
      <x:c r="K81" s="2"/>
      <x:c r="L81" s="2"/>
    </x:row>
    <x:row r="82" ht="30" customHeight="1">
      <x:c r="A82" s="2"/>
      <x:c r="B82" s="2"/>
      <x:c r="C82" s="17" t="str">
        <x:v>직접 정하거나 확인할 조건</x:v>
      </x:c>
      <x:c r="D82" s="17" t="str">
        <x:v>단위</x:v>
      </x:c>
      <x:c r="E82" s="17" t="str"/>
      <x:c r="F82" s="17" t="str">
        <x:v>값</x:v>
      </x:c>
      <x:c r="G82" s="2"/>
      <x:c r="H82" s="2"/>
      <x:c r="I82" s="2"/>
      <x:c r="J82" s="2" t="str">
        <x:v>입력 의미와 확인할 자료</x:v>
      </x:c>
      <x:c r="K82" s="2"/>
      <x:c r="L82" s="2"/>
    </x:row>
    <x:row r="83" ht="23" customHeight="1">
      <x:c r="A83" s="2"/>
      <x:c r="B83" s="2"/>
      <x:c r="C83" s="82" t="str">
        <x:v>아래 값도 확정 계약·실적이 없는 기존 가정입니다. 금액은 별도 표시가 없으면 VAT 제외 비용입니다. 0과 빈칸은 다릅니다. 리테일 0=매출 제외, 회사 인건비 부담률 0%=사업이 전액 부담. 숫자를 낮춰 수익을 맞추기보다 견적·계약·실측으로 교체하세요.</x:v>
      </x:c>
      <x:c r="D83" s="82"/>
      <x:c r="E83" s="82"/>
      <x:c r="F83" s="82"/>
      <x:c r="G83" s="82"/>
      <x:c r="H83" s="82"/>
      <x:c r="I83" s="82"/>
      <x:c r="J83" s="82"/>
      <x:c r="K83" s="82"/>
      <x:c r="L83" s="82"/>
    </x:row>
    <x:row r="84" ht="23" customHeight="1">
      <x:c r="A84" s="2"/>
      <x:c r="B84" s="2"/>
      <x:c r="C84" s="82"/>
      <x:c r="D84" s="82"/>
      <x:c r="E84" s="82"/>
      <x:c r="F84" s="82"/>
      <x:c r="G84" s="82"/>
      <x:c r="H84" s="82"/>
      <x:c r="I84" s="82"/>
      <x:c r="J84" s="82"/>
      <x:c r="K84" s="82"/>
      <x:c r="L84" s="82"/>
    </x:row>
    <x:row r="85" ht="43" customHeight="1">
      <x:c r="A85" s="2"/>
      <x:c r="B85" s="2"/>
      <x:c r="C85" s="2" t="str">
        <x:v>VAT 계산율</x:v>
      </x:c>
      <x:c r="D85" s="2" t="str">
        <x:v>%</x:v>
      </x:c>
      <x:c r="E85" s="2"/>
      <x:c r="F85" s="24" t="n">
        <x:v>0.1</x:v>
      </x:c>
      <x:c r="G85" s="2"/>
      <x:c r="H85" s="2"/>
      <x:c r="I85" s="2"/>
      <x:c r="J85" s="83" t="str">
        <x:v>매출·과세 매입의 세액 계산 비율. 현재 10% 단순 가정이며 실제 거래별 과세·공제 여부는 별도 확인해야 합니다.</x:v>
      </x:c>
      <x:c r="K85" s="83"/>
      <x:c r="L85" s="83"/>
    </x:row>
    <x:row r="86" ht="43" customHeight="1">
      <x:c r="A86" s="2"/>
      <x:c r="B86" s="2"/>
      <x:c r="C86" s="2" t="str">
        <x:v>DTC 결제 수수료율</x:v>
      </x:c>
      <x:c r="D86" s="2" t="str">
        <x:v>%</x:v>
      </x:c>
      <x:c r="E86" s="2"/>
      <x:c r="F86" s="24" t="n">
        <x:v>0.033</x:v>
      </x:c>
      <x:c r="G86" s="2"/>
      <x:c r="H86" s="2"/>
      <x:c r="I86" s="2"/>
      <x:c r="J86" s="83" t="str">
        <x:v>환불 후 고객 결제액 대비 VAT 포함 결제 수수료율 가정. 환불 수수료도 반환된다고 봅니다. 실제 결제대행사 정산 조건으로 확인하세요.</x:v>
      </x:c>
      <x:c r="K86" s="83"/>
      <x:c r="L86" s="83"/>
    </x:row>
    <x:row r="87" ht="43" customHeight="1">
      <x:c r="A87" s="2"/>
      <x:c r="B87" s="2"/>
      <x:c r="C87" s="2" t="str">
        <x:v>본체 출고 물류비</x:v>
      </x:c>
      <x:c r="D87" s="2" t="str">
        <x:v>원</x:v>
      </x:c>
      <x:c r="E87" s="2"/>
      <x:c r="F87" s="22" t="n">
        <x:v>4500</x:v>
      </x:c>
      <x:c r="G87" s="2"/>
      <x:c r="H87" s="2"/>
      <x:c r="I87" s="2"/>
      <x:c r="J87" s="83" t="str">
        <x:v>본체 1대 출고 때 드는 포장·배송 등 비용. 환불돼도 최초 배송비는 발생합니다. 물류 견적으로 교체하세요.</x:v>
      </x:c>
      <x:c r="K87" s="83"/>
      <x:c r="L87" s="83"/>
    </x:row>
    <x:row r="88" ht="43" customHeight="1">
      <x:c r="A88" s="2"/>
      <x:c r="B88" s="2"/>
      <x:c r="C88" s="2" t="str">
        <x:v>반품 회수 처리비</x:v>
      </x:c>
      <x:c r="D88" s="2" t="str">
        <x:v>원</x:v>
      </x:c>
      <x:c r="E88" s="2"/>
      <x:c r="F88" s="22" t="n">
        <x:v>6000</x:v>
      </x:c>
      <x:c r="G88" s="2"/>
      <x:c r="H88" s="2"/>
      <x:c r="I88" s="2"/>
      <x:c r="J88" s="83" t="str">
        <x:v>반품 1건의 회수·검수·처리 비용. 환불률 8%일 때 출고 1대당 기대비용은 6,000×8%=480원입니다.</x:v>
      </x:c>
      <x:c r="K88" s="83"/>
      <x:c r="L88" s="83"/>
    </x:row>
    <x:row r="89" ht="43" customHeight="1">
      <x:c r="A89" s="2"/>
      <x:c r="B89" s="2"/>
      <x:c r="C89" s="2" t="str">
        <x:v>본체 출고당 AS 기대비용</x:v>
      </x:c>
      <x:c r="D89" s="2" t="str">
        <x:v>원</x:v>
      </x:c>
      <x:c r="E89" s="2"/>
      <x:c r="F89" s="22" t="n">
        <x:v>2000</x:v>
      </x:c>
      <x:c r="G89" s="2"/>
      <x:c r="H89" s="2"/>
      <x:c r="I89" s="2"/>
      <x:c r="J89" s="83" t="str">
        <x:v>출고 1대당 평균 수리·보증 비용. 예: AS 발생률 5%×건당 40,000원=2,000원. 예시는 산식 설명이며 실제 근거가 아닙니다.</x:v>
      </x:c>
      <x:c r="K89" s="83"/>
      <x:c r="L89" s="83"/>
    </x:row>
    <x:row r="90" ht="43" customHeight="1">
      <x:c r="A90" s="2"/>
      <x:c r="B90" s="2"/>
      <x:c r="C90" s="2" t="str">
        <x:v>본체 출고당 변동 상담비</x:v>
      </x:c>
      <x:c r="D90" s="2" t="str">
        <x:v>원</x:v>
      </x:c>
      <x:c r="E90" s="2"/>
      <x:c r="F90" s="22" t="n">
        <x:v>1000</x:v>
      </x:c>
      <x:c r="G90" s="2"/>
      <x:c r="H90" s="2"/>
      <x:c r="I90" s="2"/>
      <x:c r="J90" s="83" t="str">
        <x:v>본체 출고 1대에 추가로 드는 고객 상담 비용. 고정 인건비에 같은 업무를 이미 포함했다면 중복 여부를 확인하세요.</x:v>
      </x:c>
      <x:c r="K90" s="83"/>
      <x:c r="L90" s="83"/>
    </x:row>
    <x:row r="91" ht="43" customHeight="1">
      <x:c r="A91" s="2"/>
      <x:c r="B91" s="2"/>
      <x:c r="C91" s="2" t="str">
        <x:v>리필 주문당 배송비</x:v>
      </x:c>
      <x:c r="D91" s="2" t="str">
        <x:v>원</x:v>
      </x:c>
      <x:c r="E91" s="2"/>
      <x:c r="F91" s="22" t="n">
        <x:v>3000</x:v>
      </x:c>
      <x:c r="G91" s="2"/>
      <x:c r="H91" s="2"/>
      <x:c r="I91" s="2"/>
      <x:c r="J91" s="83" t="str">
        <x:v>리필 주문 1건 배송비. 현재 주문당 1팩·판매자 부담을 가정합니다. 묶음배송이나 고객 부담 배송비는 별도 반영하지 않습니다.</x:v>
      </x:c>
      <x:c r="K91" s="83"/>
      <x:c r="L91" s="83"/>
    </x:row>
    <x:row r="92" ht="43" customHeight="1">
      <x:c r="A92" s="2"/>
      <x:c r="B92" s="2"/>
      <x:c r="C92" s="2" t="str">
        <x:v>리필 결제 수수료율</x:v>
      </x:c>
      <x:c r="D92" s="2" t="str">
        <x:v>%</x:v>
      </x:c>
      <x:c r="E92" s="2"/>
      <x:c r="F92" s="24" t="n">
        <x:v>0.033</x:v>
      </x:c>
      <x:c r="G92" s="2"/>
      <x:c r="H92" s="2"/>
      <x:c r="I92" s="2"/>
      <x:c r="J92" s="83" t="str">
        <x:v>리필 결제액의 수수료율. F86과 같은 VAT 포함·환불 시 반환 가정입니다. 본체와 리필의 실제 정산 수수료를 확인하세요.</x:v>
      </x:c>
      <x:c r="K92" s="83"/>
      <x:c r="L92" s="83"/>
    </x:row>
    <x:row r="93" ht="43" customHeight="1">
      <x:c r="A93" s="2"/>
      <x:c r="B93" s="2"/>
      <x:c r="C93" s="2" t="str">
        <x:v>리필 환불률</x:v>
      </x:c>
      <x:c r="D93" s="2" t="str">
        <x:v>%</x:v>
      </x:c>
      <x:c r="E93" s="2"/>
      <x:c r="F93" s="24" t="n">
        <x:v>0.02</x:v>
      </x:c>
      <x:c r="G93" s="2"/>
      <x:c r="H93" s="2"/>
      <x:c r="I93" s="2"/>
      <x:c r="J93" s="83" t="str">
        <x:v>리필 출고 중 환불 비율. 100팩 중 2팩 환불 가정. 제품 원가·배송비는 남고, 회수 처리비가 추가됩니다.</x:v>
      </x:c>
      <x:c r="K93" s="83"/>
      <x:c r="L93" s="83"/>
    </x:row>
    <x:row r="94" ht="43" customHeight="1">
      <x:c r="A94" s="2"/>
      <x:c r="B94" s="2"/>
      <x:c r="C94" s="2" t="str">
        <x:v>리필 구매자당 월 주문</x:v>
      </x:c>
      <x:c r="D94" s="2" t="str">
        <x:v>팩</x:v>
      </x:c>
      <x:c r="E94" s="2"/>
      <x:c r="F94" s="22" t="n">
        <x:v>1</x:v>
      </x:c>
      <x:c r="G94" s="2"/>
      <x:c r="H94" s="2"/>
      <x:c r="I94" s="2"/>
      <x:c r="J94" s="83" t="str">
        <x:v>당월 리필 구매자 1명이 사는 팩 수. 현재 1명×1팩=1주문으로 처리합니다. 고객 전체가 매월 1팩을 산다는 뜻은 아닙니다.</x:v>
      </x:c>
      <x:c r="K94" s="83"/>
      <x:c r="L94" s="83"/>
    </x:row>
    <x:row r="95" ht="43" customHeight="1">
      <x:c r="A95" s="2"/>
      <x:c r="B95" s="2"/>
      <x:c r="C95" s="2" t="str">
        <x:v>리테일 계약 가정 적용</x:v>
      </x:c>
      <x:c r="D95" s="2" t="str">
        <x:v>0 또는 1</x:v>
      </x:c>
      <x:c r="E95" s="2"/>
      <x:c r="F95" s="84" t="n">
        <x:v>0</x:v>
      </x:c>
      <x:c r="G95" s="2"/>
      <x:c r="H95" s="2"/>
      <x:c r="I95" s="2"/>
      <x:c r="J95" s="83" t="str">
        <x:v>0=매장 납품 출고·매출 제외 / 1=위 리테일 잠재 수량 적용. 계약 확인 전에는 0을 유지하세요.</x:v>
      </x:c>
      <x:c r="K95" s="83"/>
      <x:c r="L95" s="83"/>
    </x:row>
    <x:row r="96" ht="43" customHeight="1">
      <x:c r="A96" s="2"/>
      <x:c r="B96" s="2"/>
      <x:c r="C96" s="2" t="str">
        <x:v>리테일 대금 회수 지연</x:v>
      </x:c>
      <x:c r="D96" s="2" t="str">
        <x:v>개월</x:v>
      </x:c>
      <x:c r="E96" s="2"/>
      <x:c r="F96" s="22" t="n">
        <x:v>2</x:v>
      </x:c>
      <x:c r="G96" s="2"/>
      <x:c r="H96" s="2"/>
      <x:c r="I96" s="2"/>
      <x:c r="J96" s="83" t="str">
        <x:v>납품 후 대금이 들어오기까지 개월 수. 2이면 7월 납품 대금을 9월에 받습니다. 실제 유통사 정산 계약으로 확인하세요.</x:v>
      </x:c>
      <x:c r="K96" s="83"/>
      <x:c r="L96" s="83"/>
    </x:row>
    <x:row r="97" ht="43" customHeight="1">
      <x:c r="A97" s="2"/>
      <x:c r="B97" s="2"/>
      <x:c r="C97" s="2" t="str">
        <x:v>리테일 개당 출고비</x:v>
      </x:c>
      <x:c r="D97" s="2" t="str">
        <x:v>원</x:v>
      </x:c>
      <x:c r="E97" s="2"/>
      <x:c r="F97" s="22" t="n">
        <x:v>2000</x:v>
      </x:c>
      <x:c r="G97" s="2"/>
      <x:c r="H97" s="2"/>
      <x:c r="I97" s="2"/>
      <x:c r="J97" s="83" t="str">
        <x:v>매장·유통사에 본체 1개를 납품할 때 드는 배송비. DTC 배송비와 별도입니다. 거래처별 물류 조건으로 확인하세요.</x:v>
      </x:c>
      <x:c r="K97" s="83"/>
      <x:c r="L97" s="83"/>
    </x:row>
    <x:row r="98" ht="43" customHeight="1">
      <x:c r="A98" s="2"/>
      <x:c r="B98" s="2"/>
      <x:c r="C98" s="2" t="str">
        <x:v>리테일 반품률</x:v>
      </x:c>
      <x:c r="D98" s="2" t="str">
        <x:v>%</x:v>
      </x:c>
      <x:c r="E98" s="2"/>
      <x:c r="F98" s="24" t="n">
        <x:v>0.03</x:v>
      </x:c>
      <x:c r="G98" s="2"/>
      <x:c r="H98" s="2"/>
      <x:c r="I98" s="2"/>
      <x:c r="J98" s="83" t="str">
        <x:v>매장 납품 수량 중 반품되는 비율. 반품 매출은 차감하고 제품 원가·최초 배송·회수비는 비용으로 남깁니다.</x:v>
      </x:c>
      <x:c r="K98" s="83"/>
      <x:c r="L98" s="83"/>
    </x:row>
    <x:row r="99" ht="43" customHeight="1">
      <x:c r="A99" s="2"/>
      <x:c r="B99" s="2"/>
      <x:c r="C99" s="2" t="str">
        <x:v>생산 최소 발주량</x:v>
      </x:c>
      <x:c r="D99" s="2" t="str">
        <x:v>개</x:v>
      </x:c>
      <x:c r="E99" s="2"/>
      <x:c r="F99" s="22" t="n">
        <x:v>300</x:v>
      </x:c>
      <x:c r="G99" s="2"/>
      <x:c r="H99" s="2"/>
      <x:c r="I99" s="2"/>
      <x:c r="J99" s="83" t="str">
        <x:v>이 모델은 300개를 최소량이자 주문 배수로 사용합니다(300·600·900개). 제조사의 실제 MOQ·증량 단위를 확인하세요.</x:v>
      </x:c>
      <x:c r="K99" s="83"/>
      <x:c r="L99" s="83"/>
    </x:row>
    <x:row r="100" ht="43" customHeight="1">
      <x:c r="A100" s="2"/>
      <x:c r="B100" s="2"/>
      <x:c r="C100" s="2" t="str">
        <x:v>목표 안전재고</x:v>
      </x:c>
      <x:c r="D100" s="2" t="str">
        <x:v>개</x:v>
      </x:c>
      <x:c r="E100" s="2"/>
      <x:c r="F100" s="22" t="n">
        <x:v>100</x:v>
      </x:c>
      <x:c r="G100" s="2"/>
      <x:c r="H100" s="2"/>
      <x:c r="I100" s="2"/>
      <x:c r="J100" s="83" t="str">
        <x:v>다음 3개월 예상 출고를 채운 뒤 남기려는 여유 재고. 현재 100개는 정책 가정이며 수요 변동·납기 지연에 맞춰 조정하세요.</x:v>
      </x:c>
      <x:c r="K100" s="83"/>
      <x:c r="L100" s="83"/>
    </x:row>
    <x:row r="101" ht="43" customHeight="1">
      <x:c r="A101" s="2"/>
      <x:c r="B101" s="2"/>
      <x:c r="C101" s="2" t="str">
        <x:v>제조 발주 선행 기간</x:v>
      </x:c>
      <x:c r="D101" s="2" t="str">
        <x:v>개월</x:v>
      </x:c>
      <x:c r="E101" s="2"/>
      <x:c r="F101" s="22" t="n">
        <x:v>2</x:v>
      </x:c>
      <x:c r="G101" s="2"/>
      <x:c r="H101" s="2"/>
      <x:c r="I101" s="2"/>
      <x:c r="J101" s="83" t="str">
        <x:v>입고 몇 개월 전에 발주·선금을 낼지 정합니다. 2이면 7월 입고분 선금을 5월에 지급. 모델 시작 전 선금은 M1에 합산합니다.</x:v>
      </x:c>
      <x:c r="K101" s="83"/>
      <x:c r="L101" s="83"/>
    </x:row>
    <x:row r="102" ht="43" customHeight="1">
      <x:c r="A102" s="2"/>
      <x:c r="B102" s="2"/>
      <x:c r="C102" s="2" t="str">
        <x:v>제조 계약금 비율</x:v>
      </x:c>
      <x:c r="D102" s="2" t="str">
        <x:v>%</x:v>
      </x:c>
      <x:c r="E102" s="2"/>
      <x:c r="F102" s="24" t="n">
        <x:v>0.5</x:v>
      </x:c>
      <x:c r="G102" s="2"/>
      <x:c r="H102" s="2"/>
      <x:c r="I102" s="2"/>
      <x:c r="J102" s="83" t="str">
        <x:v>제조대금 중 발주 시 먼저 내는 비율. 50%는 발주 시 절반, 입고 시 나머지 절반 지급입니다. 지급액에는 VAT를 더합니다.</x:v>
      </x:c>
      <x:c r="K102" s="83"/>
      <x:c r="L102" s="83"/>
    </x:row>
    <x:row r="103" ht="43" customHeight="1">
      <x:c r="A103" s="2"/>
      <x:c r="B103" s="2"/>
      <x:c r="C103" s="2" t="str">
        <x:v>금형과 시험설비 투자</x:v>
      </x:c>
      <x:c r="D103" s="2" t="str">
        <x:v>원</x:v>
      </x:c>
      <x:c r="E103" s="2"/>
      <x:c r="F103" s="22" t="n">
        <x:v>25000000</x:v>
      </x:c>
      <x:c r="G103" s="2"/>
      <x:c r="H103" s="2"/>
      <x:c r="I103" s="2"/>
      <x:c r="J103" s="83" t="str">
        <x:v>금형·시험설비 투자액(VAT 제외). 기준 2,500만원은 견적 미확인. 출시 2개월 전 지급하고 같은 달부터 감가상각하는 가정입니다.</x:v>
      </x:c>
      <x:c r="K103" s="83"/>
      <x:c r="L103" s="83"/>
    </x:row>
    <x:row r="104" ht="43" customHeight="1">
      <x:c r="A104" s="2"/>
      <x:c r="B104" s="2"/>
      <x:c r="C104" s="2" t="str">
        <x:v>감가상각 기간</x:v>
      </x:c>
      <x:c r="D104" s="2" t="str">
        <x:v>개월</x:v>
      </x:c>
      <x:c r="E104" s="2"/>
      <x:c r="F104" s="22" t="n">
        <x:v>36</x:v>
      </x:c>
      <x:c r="G104" s="2"/>
      <x:c r="H104" s="2"/>
      <x:c r="I104" s="2"/>
      <x:c r="J104" s="83" t="str">
        <x:v>설비 비용을 손익에 나눠 반영할 개월 수. 2,500만원÷36=월 약 69만원. 현금은 설비 구매 시 먼저 나갑니다.</x:v>
      </x:c>
      <x:c r="K104" s="83"/>
      <x:c r="L104" s="83"/>
    </x:row>
    <x:row r="105" ht="43" customHeight="1">
      <x:c r="A105" s="2"/>
      <x:c r="B105" s="2"/>
      <x:c r="C105" s="2" t="str">
        <x:v>M1 투자 유입 가정</x:v>
      </x:c>
      <x:c r="D105" s="2" t="str">
        <x:v>원</x:v>
      </x:c>
      <x:c r="E105" s="2"/>
      <x:c r="F105" s="22" t="n">
        <x:v>300000000</x:v>
      </x:c>
      <x:c r="G105" s="2"/>
      <x:c r="H105" s="2"/>
      <x:c r="I105" s="2"/>
      <x:c r="J105" s="83" t="str">
        <x:v>첫 달 들어온다고 가정한 투자금. 3억원은 확정 지원금·매출이 아닙니다. 실제 승인 금액과 입금 일정 확인이 필요합니다.</x:v>
      </x:c>
      <x:c r="K105" s="83"/>
      <x:c r="L105" s="83"/>
    </x:row>
    <x:row r="106" ht="43" customHeight="1">
      <x:c r="A106" s="2"/>
      <x:c r="B106" s="2"/>
      <x:c r="C106" s="2" t="str">
        <x:v>최소 보유 현금 목표</x:v>
      </x:c>
      <x:c r="D106" s="2" t="str">
        <x:v>원</x:v>
      </x:c>
      <x:c r="E106" s="2"/>
      <x:c r="F106" s="22" t="n">
        <x:v>30000000</x:v>
      </x:c>
      <x:c r="G106" s="2"/>
      <x:c r="H106" s="2"/>
      <x:c r="I106" s="2"/>
      <x:c r="J106" s="83" t="str">
        <x:v>월말에 남겨두려는 최소 현금. 3,000만원보다 적으면 그 차이를 추가 필요자금으로 표시합니다. 별도 비용으로 빼지 않습니다.</x:v>
      </x:c>
      <x:c r="K106" s="83"/>
      <x:c r="L106" s="83"/>
    </x:row>
    <x:row r="107" ht="43" customHeight="1">
      <x:c r="A107" s="2"/>
      <x:c r="B107" s="2"/>
      <x:c r="C107" s="2" t="str">
        <x:v>회사 인건비 현금 부담률</x:v>
      </x:c>
      <x:c r="D107" s="2" t="str">
        <x:v>%</x:v>
      </x:c>
      <x:c r="E107" s="2"/>
      <x:c r="F107" s="85" t="n">
        <x:v>0</x:v>
      </x:c>
      <x:c r="G107" s="2"/>
      <x:c r="H107" s="2"/>
      <x:c r="I107" s="2"/>
      <x:c r="J107" s="83" t="str">
        <x:v>인건비 중 모회사가 사업 밖에서 대신 부담하는 비율. 0%=사업 전액 부담, 100%=사업 현금지출 0. 손익상 인건비는 유지합니다.</x:v>
      </x:c>
      <x:c r="K107" s="83"/>
      <x:c r="L107" s="83"/>
    </x:row>
    <x:row r="108" ht="43" customHeight="1">
      <x:c r="A108" s="2"/>
      <x:c r="B108" s="2"/>
      <x:c r="C108" s="2" t="str">
        <x:v>추가 R&amp;D 월 비용</x:v>
      </x:c>
      <x:c r="D108" s="2" t="str">
        <x:v>원</x:v>
      </x:c>
      <x:c r="E108" s="2"/>
      <x:c r="F108" s="22" t="n">
        <x:v>15000000</x:v>
      </x:c>
      <x:c r="G108" s="22" t="n">
        <x:v>1500000</x:v>
      </x:c>
      <x:c r="H108" s="22" t="n">
        <x:v>1500000</x:v>
      </x:c>
      <x:c r="I108" s="2"/>
      <x:c r="J108" s="83" t="str">
        <x:v>F열은 1년차 M4~M6에 매월 집행, G·H열은 2·3년차 매월 집행합니다. 100일 검증비·금형 투자와 별도인 추가 개발비입니다.</x:v>
      </x:c>
      <x:c r="K108" s="83"/>
      <x:c r="L108" s="83"/>
    </x:row>
    <x:row r="109" ht="43" customHeight="1">
      <x:c r="A109" s="2"/>
      <x:c r="B109" s="2"/>
      <x:c r="C109" s="2" t="str">
        <x:v>100일 검증 예산</x:v>
      </x:c>
      <x:c r="D109" s="2" t="str">
        <x:v>원</x:v>
      </x:c>
      <x:c r="E109" s="2"/>
      <x:c r="F109" s="28" t="n">
        <x:f>SUM('05_100일검증'!F8:F17)</x:f>
        <x:v>10000000</x:v>
      </x:c>
      <x:c r="G109" s="2"/>
      <x:c r="H109" s="2"/>
      <x:c r="I109" s="2"/>
      <x:c r="J109" s="83" t="str">
        <x:v>05_100일검증의 항목별 합계를 자동 연결합니다. 바꾸려면 해당 탭의 수량·단가를 수정하세요. F109는 직접 입력하지 않습니다.</x:v>
      </x:c>
      <x:c r="K109" s="83"/>
      <x:c r="L109" s="83"/>
    </x:row>
    <x:row r="110" ht="43" customHeight="1">
      <x:c r="A110" s="2"/>
      <x:c r="B110" s="2"/>
      <x:c r="C110" s="2" t="str">
        <x:v>잠재 적합고객 모수 가정</x:v>
      </x:c>
      <x:c r="D110" s="2" t="str">
        <x:v>명</x:v>
      </x:c>
      <x:c r="E110" s="2"/>
      <x:c r="F110" s="22" t="n">
        <x:v>1000000</x:v>
      </x:c>
      <x:c r="G110" s="2"/>
      <x:c r="H110" s="2"/>
      <x:c r="I110" s="2"/>
      <x:c r="J110" s="83" t="str">
        <x:v>시장 규모를 시험 계산하기 위한 잠재 고객 수. 100만명은 통계로 확인된 값이 아닙니다. 월별 판매량을 제한하지도 않습니다.</x:v>
      </x:c>
      <x:c r="K110" s="83"/>
      <x:c r="L110" s="83"/>
    </x:row>
    <x:row r="111" ht="43" customHeight="1">
      <x:c r="A111" s="2"/>
      <x:c r="B111" s="2"/>
      <x:c r="C111" s="2" t="str">
        <x:v>문제 및 사용상황 적합률</x:v>
      </x:c>
      <x:c r="D111" s="2" t="str">
        <x:v>%</x:v>
      </x:c>
      <x:c r="E111" s="2"/>
      <x:c r="F111" s="24" t="n">
        <x:v>0.2</x:v>
      </x:c>
      <x:c r="G111" s="2"/>
      <x:c r="H111" s="2"/>
      <x:c r="I111" s="2"/>
      <x:c r="J111" s="83" t="str">
        <x:v>잠재 고객 중 문제·사용 상황이 맞는 비율. 20%는 고객조사 전 가정입니다. 06_시장경쟁의 조건부 시장규모에만 사용합니다.</x:v>
      </x:c>
      <x:c r="K111" s="83"/>
      <x:c r="L111" s="83"/>
    </x:row>
    <x:row r="112" ht="43" customHeight="1">
      <x:c r="A112" s="2"/>
      <x:c r="B112" s="2"/>
      <x:c r="C112" s="2" t="str">
        <x:v>적합군의 유료 수용률</x:v>
      </x:c>
      <x:c r="D112" s="2" t="str">
        <x:v>%</x:v>
      </x:c>
      <x:c r="E112" s="2"/>
      <x:c r="F112" s="24" t="n">
        <x:v>0.3</x:v>
      </x:c>
      <x:c r="G112" s="2"/>
      <x:c r="H112" s="2"/>
      <x:c r="I112" s="2"/>
      <x:c r="J112" s="83" t="str">
        <x:v>적합 고객 중 유료 구매를 수용할 비율. 30%는 검증 전 가정입니다. 온라인 방문→출고 전환율(F22)과는 다른 모집단입니다.</x:v>
      </x:c>
      <x:c r="K112" s="83"/>
      <x:c r="L112" s="83"/>
    </x:row>
    <x:row r="113" ht="43" customHeight="1">
      <x:c r="A113" s="2"/>
      <x:c r="B113" s="2"/>
      <x:c r="C113" s="2" t="str">
        <x:v>연간 신규 도입률</x:v>
      </x:c>
      <x:c r="D113" s="2" t="str">
        <x:v>%</x:v>
      </x:c>
      <x:c r="E113" s="2"/>
      <x:c r="F113" s="24" t="n">
        <x:v>0.1</x:v>
      </x:c>
      <x:c r="G113" s="2"/>
      <x:c r="H113" s="2"/>
      <x:c r="I113" s="2"/>
      <x:c r="J113" s="83" t="str">
        <x:v>조건부 시장 고객 중 한 해 신규 구매하는 비율. 10%는 시장규모 참고값이며 월별 매출에 직접 곱하지 않습니다.</x:v>
      </x:c>
      <x:c r="K113" s="83"/>
      <x:c r="L113" s="83"/>
    </x:row>
    <x:row r="114" ht="43" customHeight="1">
      <x:c r="A114" s="2"/>
      <x:c r="B114" s="2"/>
      <x:c r="C114" s="2" t="str">
        <x:v>본체 교체주기 참고</x:v>
      </x:c>
      <x:c r="D114" s="2" t="str">
        <x:v>년</x:v>
      </x:c>
      <x:c r="E114" s="2"/>
      <x:c r="F114" s="22" t="n">
        <x:v>3</x:v>
      </x:c>
      <x:c r="G114" s="2"/>
      <x:c r="H114" s="2"/>
      <x:c r="I114" s="2"/>
      <x:c r="J114" s="83" t="str">
        <x:v>본체 교체 시점에 대한 참고 입력. 현재 36개월 매출에는 교체구매를 자동으로 더하지 않습니다. 실제 제품 수명은 미확정입니다.</x:v>
      </x:c>
      <x:c r="K114" s="83"/>
      <x:c r="L114" s="83"/>
    </x:row>
    <x:row r="115" ht="43" customHeight="1">
      <x:c r="A115" s="2"/>
      <x:c r="B115" s="2"/>
      <x:c r="C115" s="2" t="str">
        <x:v>본체 CM2 관리 목표</x:v>
      </x:c>
      <x:c r="D115" s="2" t="str">
        <x:v>원</x:v>
      </x:c>
      <x:c r="E115" s="2"/>
      <x:c r="F115" s="22" t="n">
        <x:v>20000</x:v>
      </x:c>
      <x:c r="G115" s="2"/>
      <x:c r="H115" s="2"/>
      <x:c r="I115" s="2"/>
      <x:c r="J115" s="83" t="str">
        <x:v>본체 1대에서 광고비까지 뺀 뒤 남기려는 금액. 2만원은 내부 목표입니다. 인건비·고정비를 뺀 최종 순이익이 아닙니다.</x:v>
      </x:c>
      <x:c r="K115" s="83"/>
      <x:c r="L115" s="83"/>
    </x:row>
    <x:row r="116" ht="43" customHeight="1">
      <x:c r="A116" s="2"/>
      <x:c r="B116" s="2"/>
      <x:c r="C116" s="2" t="str">
        <x:v>키트 동봉 패치 수</x:v>
      </x:c>
      <x:c r="D116" s="2" t="str">
        <x:v>개</x:v>
      </x:c>
      <x:c r="E116" s="2"/>
      <x:c r="F116" s="22" t="n">
        <x:v>12</x:v>
      </x:c>
      <x:c r="G116" s="2"/>
      <x:c r="H116" s="2"/>
      <x:c r="I116" s="2"/>
      <x:c r="J116" s="83" t="str">
        <x:v>본체 키트에 넣을 패치 개수. 원가 견적의 구성 확인용이며 숫자를 바꿔도 제조원가는 자동 변경되지 않습니다.</x:v>
      </x:c>
      <x:c r="K116" s="83"/>
      <x:c r="L116" s="83"/>
    </x:row>
    <x:row r="117" ht="43" customHeight="1">
      <x:c r="A117" s="2"/>
      <x:c r="B117" s="2"/>
      <x:c r="C117" s="2" t="str">
        <x:v>리필 1팩 패치 수</x:v>
      </x:c>
      <x:c r="D117" s="2" t="str">
        <x:v>개</x:v>
      </x:c>
      <x:c r="E117" s="2"/>
      <x:c r="F117" s="22" t="n">
        <x:v>24</x:v>
      </x:c>
      <x:c r="G117" s="2"/>
      <x:c r="H117" s="2"/>
      <x:c r="I117" s="2"/>
      <x:c r="J117" s="83" t="str">
        <x:v>리필 1팩의 패치 개수. 구성 참고값입니다. 변경하면 리필 판매가·원가·월 주문량도 별도로 검토해야 합니다.</x:v>
      </x:c>
      <x:c r="K117" s="83"/>
      <x:c r="L117" s="83"/>
    </x:row>
    <x:row r="118" ht="43" customHeight="1">
      <x:c r="A118" s="2"/>
      <x:c r="B118" s="2"/>
      <x:c r="C118" s="2" t="str">
        <x:v>한쪽 발목 1회 패치 수</x:v>
      </x:c>
      <x:c r="D118" s="2" t="str">
        <x:v>개</x:v>
      </x:c>
      <x:c r="E118" s="2"/>
      <x:c r="F118" s="22" t="n">
        <x:v>3</x:v>
      </x:c>
      <x:c r="G118" s="2"/>
      <x:c r="H118" s="2"/>
      <x:c r="I118" s="2"/>
      <x:c r="J118" s="83" t="str">
        <x:v>한쪽 발목에 한 번 사용할 패치 수. 24개÷3개=8회분. 양쪽 동시 사용·재사용 여부에 따라 실제 소모량이 달라집니다.</x:v>
      </x:c>
      <x:c r="K118" s="83"/>
      <x:c r="L118" s="83"/>
    </x:row>
    <x:row r="119" ht="23" customHeight="1">
      <x:c r="A119" s="2"/>
      <x:c r="B119" s="2"/>
      <x:c r="C119" s="2"/>
      <x:c r="D119" s="2"/>
      <x:c r="E119" s="2"/>
      <x:c r="F119" s="2"/>
      <x:c r="G119" s="2"/>
      <x:c r="H119" s="2"/>
      <x:c r="I119" s="2"/>
      <x:c r="J119" s="2"/>
      <x:c r="K119" s="2"/>
      <x:c r="L119" s="2"/>
    </x:row>
    <x:row r="120" ht="45" customHeight="1">
      <x:c r="A120" s="2"/>
      <x:c r="B120" s="2"/>
      <x:c r="C120" s="13" t="str">
        <x:v>시나리오는 확률 예측이 아닙니다. 확장은 가격·전환율·리필·원가가 함께 좋아지는 경우입니다. 2·3년차 성장도 검증 전 계획입니다. 실제 데이터는 08_실측입력에 기록한 뒤 조건이 같은 가정만 수동 교체하세요.</x:v>
      </x:c>
      <x:c r="D120" s="13"/>
      <x:c r="E120" s="13"/>
      <x:c r="F120" s="13"/>
      <x:c r="G120" s="13"/>
      <x:c r="H120" s="13"/>
      <x:c r="I120" s="13"/>
      <x:c r="J120" s="13"/>
      <x:c r="K120" s="13"/>
      <x:c r="L120" s="13"/>
    </x:row>
    <x:row r="121" ht="23" customHeight="1">
      <x:c r="A121" s="2"/>
      <x:c r="B121" s="2"/>
      <x:c r="C121" s="2"/>
      <x:c r="D121" s="2"/>
      <x:c r="E121" s="2"/>
      <x:c r="F121" s="2"/>
      <x:c r="G121" s="2"/>
      <x:c r="H121" s="2"/>
      <x:c r="I121" s="2"/>
      <x:c r="J121" s="2"/>
      <x:c r="K121" s="2"/>
      <x:c r="L121" s="2"/>
    </x:row>
    <x:row r="122" ht="45" customHeight="1">
      <x:c r="A122" s="2"/>
      <x:c r="B122" s="2"/>
      <x:c r="C122" s="13" t="str">
        <x:v>계산 단순화: 비인건비는 과세·공제 가능한 매입으로 가정, VAT 환급은 보류하고 달력상 분기 다음 달 양수 잔액을 납부합니다. 법인세·차입금·36개월 이후 발주와 교체구매는 제외합니다. 견적·판매 실적이 생기면 다시 확인하세요.</x:v>
      </x:c>
      <x:c r="D122" s="13"/>
      <x:c r="E122" s="13"/>
      <x:c r="F122" s="13"/>
      <x:c r="G122" s="13"/>
      <x:c r="H122" s="13"/>
      <x:c r="I122" s="13"/>
      <x:c r="J122" s="13"/>
      <x:c r="K122" s="13"/>
      <x:c r="L122" s="13"/>
    </x:row>
    <x:row r="123" ht="23" customHeight="1">
      <x:c r="A123" s="2"/>
      <x:c r="B123" s="2"/>
      <x:c r="C123" s="2"/>
      <x:c r="D123" s="2"/>
      <x:c r="E123" s="2"/>
      <x:c r="F123" s="2"/>
      <x:c r="G123" s="2"/>
      <x:c r="H123" s="2"/>
      <x:c r="I123" s="2"/>
      <x:c r="J123" s="2"/>
      <x:c r="K123" s="2"/>
      <x:c r="L123" s="2"/>
    </x:row>
    <x:row r="124" ht="23" customHeight="1">
      <x:c r="A124" s="2"/>
      <x:c r="B124" s="2"/>
      <x:c r="C124" s="2"/>
      <x:c r="D124" s="2"/>
      <x:c r="E124" s="2"/>
      <x:c r="F124" s="2"/>
      <x:c r="G124" s="2"/>
      <x:c r="H124" s="2"/>
      <x:c r="I124" s="2"/>
      <x:c r="J124" s="2"/>
      <x:c r="K124" s="2"/>
      <x:c r="L124" s="2"/>
    </x:row>
    <x:row r="125" ht="23" customHeight="1">
      <x:c r="A125" s="2"/>
      <x:c r="B125" s="2"/>
      <x:c r="C125" s="2"/>
      <x:c r="D125" s="2"/>
      <x:c r="E125" s="2"/>
      <x:c r="F125" s="2"/>
      <x:c r="G125" s="2"/>
      <x:c r="H125" s="2"/>
      <x:c r="I125" s="2"/>
      <x:c r="J125" s="2"/>
      <x:c r="K125" s="2"/>
      <x:c r="L125" s="2"/>
    </x:row>
  </x:sheetData>
  <x:mergeCells>
    <x:mergeCell ref="C6:L6"/>
    <x:mergeCell ref="J10:L13"/>
    <x:mergeCell ref="J14:L17"/>
    <x:mergeCell ref="J18:L21"/>
    <x:mergeCell ref="J22:L25"/>
    <x:mergeCell ref="J26:L29"/>
    <x:mergeCell ref="J30:L33"/>
    <x:mergeCell ref="J34:L37"/>
    <x:mergeCell ref="J38:L41"/>
    <x:mergeCell ref="J42:L45"/>
    <x:mergeCell ref="J46:L49"/>
    <x:mergeCell ref="J50:L53"/>
    <x:mergeCell ref="J54:L57"/>
    <x:mergeCell ref="J58:L61"/>
    <x:mergeCell ref="J62:L65"/>
    <x:mergeCell ref="J66:L69"/>
    <x:mergeCell ref="J70:L73"/>
    <x:mergeCell ref="J74:L77"/>
    <x:mergeCell ref="C120:L120"/>
    <x:mergeCell ref="C122:L122"/>
    <x:mergeCell ref="C83:L84"/>
    <x:mergeCell ref="J85:L85"/>
    <x:mergeCell ref="J86:L86"/>
    <x:mergeCell ref="J87:L87"/>
    <x:mergeCell ref="J88:L88"/>
    <x:mergeCell ref="J89:L89"/>
    <x:mergeCell ref="J90:L90"/>
    <x:mergeCell ref="J91:L91"/>
    <x:mergeCell ref="J92:L92"/>
    <x:mergeCell ref="J93:L93"/>
    <x:mergeCell ref="J94:L94"/>
    <x:mergeCell ref="J95:L95"/>
    <x:mergeCell ref="J96:L96"/>
    <x:mergeCell ref="J97:L97"/>
    <x:mergeCell ref="J98:L98"/>
    <x:mergeCell ref="J99:L99"/>
    <x:mergeCell ref="J100:L100"/>
    <x:mergeCell ref="J101:L101"/>
    <x:mergeCell ref="J102:L102"/>
    <x:mergeCell ref="J103:L103"/>
    <x:mergeCell ref="J104:L104"/>
    <x:mergeCell ref="J105:L105"/>
    <x:mergeCell ref="J106:L106"/>
    <x:mergeCell ref="J107:L107"/>
    <x:mergeCell ref="J108:L108"/>
    <x:mergeCell ref="J109:L109"/>
    <x:mergeCell ref="J110:L110"/>
    <x:mergeCell ref="J111:L111"/>
    <x:mergeCell ref="J112:L112"/>
    <x:mergeCell ref="J113:L113"/>
    <x:mergeCell ref="J114:L114"/>
    <x:mergeCell ref="J115:L115"/>
    <x:mergeCell ref="J116:L116"/>
    <x:mergeCell ref="J117:L117"/>
    <x:mergeCell ref="J118:L118"/>
  </x:mergeCells>
  <x:dataValidations count="3">
    <x:dataValidation type="list" sqref="F4">
      <x:formula1>"1,2,3"</x:formula1>
    </x:dataValidation>
    <x:dataValidation type="list" sqref="F95">
      <x:formula1>"0,1"</x:formula1>
    </x:dataValidation>
    <x:dataValidation type="whole" operator="between" sqref="F101">
      <x:formula1>0</x:formula1>
      <x:formula2>36</x:formula2>
    </x:dataValidation>
  </x:dataValidations>
  <x:pageMargins left="0.7" right="0.7" top="0.75" bottom="0.75" header="0.3" footer="0.3"/>
</x:worksheet>
</file>

<file path=xl/worksheets/sheet3.xml><?xml version="1.0" encoding="utf-8"?>
<x:worksheet xmlns:x="http://schemas.openxmlformats.org/spreadsheetml/2006/main">
  <x:sheetPr>
    <x:tabColor rgb="FFBCC8D3"/>
  </x:sheetPr>
  <x:sheetViews>
    <x:sheetView showGridLines="0" workbookViewId="0">
      <x:pane ySplit="6" topLeftCell="A7" activePane="bottomLeft" state="frozen"/>
    </x:sheetView>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17" hidden="0" customWidth="1"/>
    <x:col min="8" max="8" width="17" hidden="0" customWidth="1"/>
    <x:col min="9" max="9" width="3" hidden="0" customWidth="1"/>
    <x:col min="10" max="10" width="22" hidden="0" customWidth="1"/>
    <x:col min="11" max="11" width="22" hidden="0" customWidth="1"/>
    <x:col min="12" max="12" width="22" hidden="0" customWidth="1"/>
  </x:cols>
  <x:sheetData>
    <x:row r="1" ht="23" customHeight="1">
      <x:c r="A1" s="2"/>
      <x:c r="B1" s="2"/>
      <x:c r="C1" s="2"/>
      <x:c r="D1" s="2"/>
      <x:c r="E1" s="2"/>
      <x:c r="F1" s="2"/>
      <x:c r="G1" s="2"/>
      <x:c r="H1" s="2"/>
      <x:c r="I1" s="2"/>
      <x:c r="J1" s="2"/>
      <x:c r="K1" s="2"/>
      <x:c r="L1" s="2"/>
    </x:row>
    <x:row r="2" ht="35" customHeight="1">
      <x:c r="A2" s="2"/>
      <x:c r="B2" s="2"/>
      <x:c r="C2" s="3" t="str">
        <x:v>본체와 리필에서 실제로 남는 금액</x:v>
      </x:c>
      <x:c r="D2" s="2"/>
      <x:c r="E2" s="2"/>
      <x:c r="F2" s="2"/>
      <x:c r="G2" s="2"/>
      <x:c r="H2" s="2"/>
      <x:c r="I2" s="2"/>
      <x:c r="J2" s="2"/>
      <x:c r="K2" s="2"/>
      <x:c r="L2" s="2"/>
    </x:row>
    <x:row r="3" ht="23" customHeight="1">
      <x:c r="A3" s="2"/>
      <x:c r="B3" s="2"/>
      <x:c r="C3" s="2"/>
      <x:c r="D3" s="2"/>
      <x:c r="E3" s="2"/>
      <x:c r="F3" s="2"/>
      <x:c r="G3" s="2"/>
      <x:c r="H3" s="2"/>
      <x:c r="I3" s="2"/>
      <x:c r="J3" s="2"/>
      <x:c r="K3" s="2"/>
      <x:c r="L3" s="2"/>
    </x:row>
    <x:row r="4" ht="23" customHeight="1">
      <x:c r="A4" s="2"/>
      <x:c r="B4" s="2"/>
      <x:c r="C4" s="2" t="str">
        <x:v>선택 시나리오</x:v>
      </x:c>
      <x:c r="D4" s="2"/>
      <x:c r="E4" s="2"/>
      <x:c r="F4" s="51" t="str">
        <x:f>'01_가정'!H4</x:f>
        <x:v>기준</x:v>
      </x:c>
      <x:c r="G4" s="2"/>
      <x:c r="H4" s="2"/>
      <x:c r="I4" s="2"/>
      <x:c r="J4" s="2"/>
      <x:c r="K4" s="2"/>
      <x:c r="L4" s="2"/>
    </x:row>
    <x:row r="5" ht="23" customHeight="1">
      <x:c r="A5" s="2"/>
      <x:c r="B5" s="2"/>
      <x:c r="C5" s="2"/>
      <x:c r="D5" s="2"/>
      <x:c r="E5" s="2"/>
      <x:c r="F5" s="2"/>
      <x:c r="G5" s="2"/>
      <x:c r="H5" s="2"/>
      <x:c r="I5" s="2"/>
      <x:c r="J5" s="2"/>
      <x:c r="K5" s="2"/>
      <x:c r="L5" s="2"/>
    </x:row>
    <x:row r="6" ht="30" customHeight="1">
      <x:c r="A6" s="2"/>
      <x:c r="B6" s="2"/>
      <x:c r="C6" s="17" t="str">
        <x:v>지표</x:v>
      </x:c>
      <x:c r="D6" s="17" t="str">
        <x:v>단위</x:v>
      </x:c>
      <x:c r="E6" s="17" t="str"/>
      <x:c r="F6" s="17" t="str">
        <x:v>1년차</x:v>
      </x:c>
      <x:c r="G6" s="17" t="str">
        <x:v>2년차</x:v>
      </x:c>
      <x:c r="H6" s="17" t="str">
        <x:v>3년차</x:v>
      </x:c>
      <x:c r="I6" s="2"/>
      <x:c r="J6" s="2"/>
      <x:c r="K6" s="2"/>
      <x:c r="L6" s="2"/>
    </x:row>
    <x:row r="7" ht="23" customHeight="1">
      <x:c r="A7" s="2"/>
      <x:c r="B7" s="2"/>
      <x:c r="C7" s="19" t="str">
        <x:v>DTC 본체 한 대 기준</x:v>
      </x:c>
      <x:c r="D7" s="19"/>
      <x:c r="E7" s="19"/>
      <x:c r="F7" s="19"/>
      <x:c r="G7" s="19"/>
      <x:c r="H7" s="19"/>
      <x:c r="I7" s="2"/>
      <x:c r="J7" s="2"/>
      <x:c r="K7" s="2"/>
      <x:c r="L7" s="2"/>
    </x:row>
    <x:row r="8" ht="23" customHeight="1">
      <x:c r="A8" s="2"/>
      <x:c r="B8" s="2"/>
      <x:c r="C8" s="2" t="str">
        <x:v>DTC 실결제가</x:v>
      </x:c>
      <x:c r="D8" s="2" t="str">
        <x:v>원</x:v>
      </x:c>
      <x:c r="E8" s="2"/>
      <x:c r="F8" s="31" t="n">
        <x:f>'01_가정'!F10</x:f>
        <x:v>149000</x:v>
      </x:c>
      <x:c r="G8" s="31" t="n">
        <x:f>'01_가정'!G10</x:f>
        <x:v>149000</x:v>
      </x:c>
      <x:c r="H8" s="31" t="n">
        <x:f>'01_가정'!H10</x:f>
        <x:v>149000</x:v>
      </x:c>
      <x:c r="I8" s="2"/>
      <x:c r="J8" s="2"/>
      <x:c r="K8" s="2"/>
      <x:c r="L8" s="2"/>
    </x:row>
    <x:row r="9" ht="23" customHeight="1">
      <x:c r="A9" s="2"/>
      <x:c r="B9" s="2"/>
      <x:c r="C9" s="2" t="str">
        <x:v>환불 전 VAT 제외 매출</x:v>
      </x:c>
      <x:c r="D9" s="2" t="str">
        <x:v>원</x:v>
      </x:c>
      <x:c r="E9" s="2"/>
      <x:c r="F9" s="31" t="n">
        <x:f>F8/(1+'01_가정'!$F$85)</x:f>
        <x:v>135454.54545454544</x:v>
      </x:c>
      <x:c r="G9" s="31" t="n">
        <x:f>G8/(1+'01_가정'!$F$85)</x:f>
        <x:v>135454.54545454544</x:v>
      </x:c>
      <x:c r="H9" s="31" t="n">
        <x:f>H8/(1+'01_가정'!$F$85)</x:f>
        <x:v>135454.54545454544</x:v>
      </x:c>
      <x:c r="I9" s="2"/>
      <x:c r="J9" s="2"/>
      <x:c r="K9" s="2"/>
      <x:c r="L9" s="2"/>
    </x:row>
    <x:row r="10" ht="23" customHeight="1">
      <x:c r="A10" s="2"/>
      <x:c r="B10" s="2"/>
      <x:c r="C10" s="2" t="str">
        <x:v>비환불 비율</x:v>
      </x:c>
      <x:c r="D10" s="2" t="str">
        <x:v>%</x:v>
      </x:c>
      <x:c r="E10" s="2"/>
      <x:c r="F10" s="32" t="n">
        <x:f>1-'01_가정'!F26</x:f>
        <x:v>0.92</x:v>
      </x:c>
      <x:c r="G10" s="32" t="n">
        <x:f>1-'01_가정'!G26</x:f>
        <x:v>0.9299999999999999</x:v>
      </x:c>
      <x:c r="H10" s="32" t="n">
        <x:f>1-'01_가정'!H26</x:f>
        <x:v>0.94</x:v>
      </x:c>
      <x:c r="I10" s="2"/>
      <x:c r="J10" s="2"/>
      <x:c r="K10" s="2"/>
      <x:c r="L10" s="2"/>
    </x:row>
    <x:row r="11" ht="23" customHeight="1">
      <x:c r="A11" s="2"/>
      <x:c r="B11" s="2"/>
      <x:c r="C11" s="2" t="str">
        <x:v>출고당 순매출</x:v>
      </x:c>
      <x:c r="D11" s="2" t="str">
        <x:v>원</x:v>
      </x:c>
      <x:c r="E11" s="2"/>
      <x:c r="F11" s="33" t="n">
        <x:f>F9*F10</x:f>
        <x:v>124618.18181818181</x:v>
      </x:c>
      <x:c r="G11" s="33" t="n">
        <x:f>G9*G10</x:f>
        <x:v>125972.72727272725</x:v>
      </x:c>
      <x:c r="H11" s="33" t="n">
        <x:f>H9*H10</x:f>
        <x:v>127327.2727272727</x:v>
      </x:c>
      <x:c r="I11" s="2"/>
      <x:c r="J11" s="2"/>
      <x:c r="K11" s="2"/>
      <x:c r="L11" s="2"/>
    </x:row>
    <x:row r="12" ht="23" customHeight="1">
      <x:c r="A12" s="2"/>
      <x:c r="B12" s="2"/>
      <x:c r="C12" s="2" t="str">
        <x:v>완제품 키트 원가</x:v>
      </x:c>
      <x:c r="D12" s="2" t="str">
        <x:v>원</x:v>
      </x:c>
      <x:c r="E12" s="2"/>
      <x:c r="F12" s="31" t="n">
        <x:f>'01_가정'!F14</x:f>
        <x:v>55000</x:v>
      </x:c>
      <x:c r="G12" s="31" t="n">
        <x:f>'01_가정'!G14</x:f>
        <x:v>50000</x:v>
      </x:c>
      <x:c r="H12" s="31" t="n">
        <x:f>'01_가정'!H14</x:f>
        <x:v>46000</x:v>
      </x:c>
      <x:c r="I12" s="2"/>
      <x:c r="J12" s="2"/>
      <x:c r="K12" s="2"/>
      <x:c r="L12" s="2"/>
    </x:row>
    <x:row r="13" ht="23" customHeight="1">
      <x:c r="A13" s="2"/>
      <x:c r="B13" s="2"/>
      <x:c r="C13" s="2" t="str">
        <x:v>결제 수수료</x:v>
      </x:c>
      <x:c r="D13" s="2" t="str">
        <x:v>원</x:v>
      </x:c>
      <x:c r="E13" s="2"/>
      <x:c r="F13" s="31" t="n">
        <x:f>F11*'01_가정'!$F$86</x:f>
        <x:v>4112.4</x:v>
      </x:c>
      <x:c r="G13" s="31" t="n">
        <x:f>G11*'01_가정'!$F$86</x:f>
        <x:v>4157.099999999999</x:v>
      </x:c>
      <x:c r="H13" s="31" t="n">
        <x:f>H11*'01_가정'!$F$86</x:f>
        <x:v>4201.799999999999</x:v>
      </x:c>
      <x:c r="I13" s="2"/>
      <x:c r="J13" s="2"/>
      <x:c r="K13" s="2"/>
      <x:c r="L13" s="2"/>
    </x:row>
    <x:row r="14" ht="23" customHeight="1">
      <x:c r="A14" s="2"/>
      <x:c r="B14" s="2"/>
      <x:c r="C14" s="2" t="str">
        <x:v>출고 물류비</x:v>
      </x:c>
      <x:c r="D14" s="2" t="str">
        <x:v>원</x:v>
      </x:c>
      <x:c r="E14" s="2"/>
      <x:c r="F14" s="31" t="n">
        <x:f>'01_가정'!$F$87</x:f>
        <x:v>4500</x:v>
      </x:c>
      <x:c r="G14" s="31" t="n">
        <x:f>'01_가정'!$F$87</x:f>
        <x:v>4500</x:v>
      </x:c>
      <x:c r="H14" s="31" t="n">
        <x:f>'01_가정'!$F$87</x:f>
        <x:v>4500</x:v>
      </x:c>
      <x:c r="I14" s="2"/>
      <x:c r="J14" s="2"/>
      <x:c r="K14" s="2"/>
      <x:c r="L14" s="2"/>
    </x:row>
    <x:row r="15" ht="23" customHeight="1">
      <x:c r="A15" s="2"/>
      <x:c r="B15" s="2"/>
      <x:c r="C15" s="2" t="str">
        <x:v>기대 반품 처리비</x:v>
      </x:c>
      <x:c r="D15" s="2" t="str">
        <x:v>원</x:v>
      </x:c>
      <x:c r="E15" s="2"/>
      <x:c r="F15" s="31" t="n">
        <x:f>(1-F10)*'01_가정'!$F$88</x:f>
        <x:v>479.9999999999998</x:v>
      </x:c>
      <x:c r="G15" s="31" t="n">
        <x:f>(1-G10)*'01_가정'!$F$88</x:f>
        <x:v>420.0000000000004</x:v>
      </x:c>
      <x:c r="H15" s="31" t="n">
        <x:f>(1-H10)*'01_가정'!$F$88</x:f>
        <x:v>360.00000000000034</x:v>
      </x:c>
      <x:c r="I15" s="2"/>
      <x:c r="J15" s="2"/>
      <x:c r="K15" s="2"/>
      <x:c r="L15" s="2"/>
    </x:row>
    <x:row r="16" ht="23" customHeight="1">
      <x:c r="A16" s="2"/>
      <x:c r="B16" s="2"/>
      <x:c r="C16" s="2" t="str">
        <x:v>AS 기대비용</x:v>
      </x:c>
      <x:c r="D16" s="2" t="str">
        <x:v>원</x:v>
      </x:c>
      <x:c r="E16" s="2"/>
      <x:c r="F16" s="31" t="n">
        <x:f>'01_가정'!$F$89</x:f>
        <x:v>2000</x:v>
      </x:c>
      <x:c r="G16" s="31" t="n">
        <x:f>'01_가정'!$F$89</x:f>
        <x:v>2000</x:v>
      </x:c>
      <x:c r="H16" s="31" t="n">
        <x:f>'01_가정'!$F$89</x:f>
        <x:v>2000</x:v>
      </x:c>
      <x:c r="I16" s="2"/>
      <x:c r="J16" s="2"/>
      <x:c r="K16" s="2"/>
      <x:c r="L16" s="2"/>
    </x:row>
    <x:row r="17" ht="23" customHeight="1">
      <x:c r="A17" s="2"/>
      <x:c r="B17" s="2"/>
      <x:c r="C17" s="2" t="str">
        <x:v>변동 상담비</x:v>
      </x:c>
      <x:c r="D17" s="2" t="str">
        <x:v>원</x:v>
      </x:c>
      <x:c r="E17" s="2"/>
      <x:c r="F17" s="31" t="n">
        <x:f>'01_가정'!$F$90</x:f>
        <x:v>1000</x:v>
      </x:c>
      <x:c r="G17" s="31" t="n">
        <x:f>'01_가정'!$F$90</x:f>
        <x:v>1000</x:v>
      </x:c>
      <x:c r="H17" s="31" t="n">
        <x:f>'01_가정'!$F$90</x:f>
        <x:v>1000</x:v>
      </x:c>
      <x:c r="I17" s="2"/>
      <x:c r="J17" s="2"/>
      <x:c r="K17" s="2"/>
      <x:c r="L17" s="2"/>
    </x:row>
    <x:row r="18" ht="23" customHeight="1">
      <x:c r="A18" s="2"/>
      <x:c r="B18" s="2"/>
      <x:c r="C18" s="19" t="str">
        <x:v>광고 전 공헌이익 CM1</x:v>
      </x:c>
      <x:c r="D18" s="19" t="str">
        <x:v>원</x:v>
      </x:c>
      <x:c r="E18" s="19"/>
      <x:c r="F18" s="21" t="n">
        <x:f>F11-SUM(F12:F17)</x:f>
        <x:v>57525.781818181815</x:v>
      </x:c>
      <x:c r="G18" s="21" t="n">
        <x:f>G11-SUM(G12:G17)</x:f>
        <x:v>63895.62727272725</x:v>
      </x:c>
      <x:c r="H18" s="21" t="n">
        <x:f>H11-SUM(H12:H17)</x:f>
        <x:v>69265.4727272727</x:v>
      </x:c>
      <x:c r="I18" s="2"/>
      <x:c r="J18" s="2"/>
      <x:c r="K18" s="2"/>
      <x:c r="L18" s="2"/>
    </x:row>
    <x:row r="19" ht="23" customHeight="1">
      <x:c r="A19" s="2"/>
      <x:c r="B19" s="2"/>
      <x:c r="C19" s="2" t="str">
        <x:v>유료 신규 출고 CAC</x:v>
      </x:c>
      <x:c r="D19" s="2" t="str">
        <x:v>원</x:v>
      </x:c>
      <x:c r="E19" s="2"/>
      <x:c r="F19" s="31" t="n">
        <x:f>IF('01_가정'!F22&gt;0,'01_가정'!F18/'01_가정'!F22,"n.a.")</x:f>
        <x:v>36000</x:v>
      </x:c>
      <x:c r="G19" s="31" t="n">
        <x:f>IF('01_가정'!G22&gt;0,'01_가정'!G18/'01_가정'!G22,"n.a.")</x:f>
        <x:v>26666.666666666668</x:v>
      </x:c>
      <x:c r="H19" s="31" t="n">
        <x:f>IF('01_가정'!H22&gt;0,'01_가정'!H18/'01_가정'!H22,"n.a.")</x:f>
        <x:v>21428.571428571428</x:v>
      </x:c>
      <x:c r="I19" s="2"/>
      <x:c r="J19" s="2"/>
      <x:c r="K19" s="2"/>
      <x:c r="L19" s="2"/>
    </x:row>
    <x:row r="20" ht="23" customHeight="1">
      <x:c r="A20" s="2"/>
      <x:c r="B20" s="2"/>
      <x:c r="C20" s="19" t="str">
        <x:v>광고 후 공헌이익 CM2</x:v>
      </x:c>
      <x:c r="D20" s="19" t="str">
        <x:v>원</x:v>
      </x:c>
      <x:c r="E20" s="19"/>
      <x:c r="F20" s="21" t="n">
        <x:f>IF(ISNUMBER(F19),F18-F19,"n.a.")</x:f>
        <x:v>21525.781818181815</x:v>
      </x:c>
      <x:c r="G20" s="21" t="n">
        <x:f>IF(ISNUMBER(G19),G18-G19,"n.a.")</x:f>
        <x:v>37228.96060606059</x:v>
      </x:c>
      <x:c r="H20" s="21" t="n">
        <x:f>IF(ISNUMBER(H19),H18-H19,"n.a.")</x:f>
        <x:v>47836.901298701276</x:v>
      </x:c>
      <x:c r="I20" s="2"/>
      <x:c r="J20" s="2"/>
      <x:c r="K20" s="2"/>
      <x:c r="L20" s="2"/>
    </x:row>
    <x:row r="21" ht="23" customHeight="1">
      <x:c r="A21" s="2"/>
      <x:c r="B21" s="2"/>
      <x:c r="C21" s="2" t="str">
        <x:v>CM2 순매출 비율</x:v>
      </x:c>
      <x:c r="D21" s="2" t="str">
        <x:v>%</x:v>
      </x:c>
      <x:c r="E21" s="2"/>
      <x:c r="F21" s="34" t="n">
        <x:f>IF(AND(ISNUMBER(F20),F11&gt;0),F20/F11,"n.a.")</x:f>
        <x:v>0.17273387802742923</x:v>
      </x:c>
      <x:c r="G21" s="34" t="n">
        <x:f>IF(AND(ISNUMBER(G20),G11&gt;0),G20/G11,"n.a.")</x:f>
        <x:v>0.2955319092636693</x:v>
      </x:c>
      <x:c r="H21" s="34" t="n">
        <x:f>IF(AND(ISNUMBER(H20),H11&gt;0),H20/H11,"n.a.")</x:f>
        <x:v>0.3757003529099772</x:v>
      </x:c>
      <x:c r="I21" s="2"/>
      <x:c r="J21" s="2"/>
      <x:c r="K21" s="2"/>
      <x:c r="L21" s="2"/>
    </x:row>
    <x:row r="22" ht="23" customHeight="1">
      <x:c r="A22" s="2"/>
      <x:c r="B22" s="2"/>
      <x:c r="C22" s="2" t="str">
        <x:v>CM2 관리 목표</x:v>
      </x:c>
      <x:c r="D22" s="2" t="str">
        <x:v>원</x:v>
      </x:c>
      <x:c r="E22" s="2"/>
      <x:c r="F22" s="31" t="n">
        <x:f>'01_가정'!$F$115</x:f>
        <x:v>20000</x:v>
      </x:c>
      <x:c r="G22" s="31" t="n">
        <x:f>'01_가정'!$F$115</x:f>
        <x:v>20000</x:v>
      </x:c>
      <x:c r="H22" s="31" t="n">
        <x:f>'01_가정'!$F$115</x:f>
        <x:v>20000</x:v>
      </x:c>
      <x:c r="I22" s="2"/>
      <x:c r="J22" s="2"/>
      <x:c r="K22" s="2"/>
      <x:c r="L22" s="2"/>
    </x:row>
    <x:row r="23" ht="23" customHeight="1">
      <x:c r="A23" s="2"/>
      <x:c r="B23" s="2"/>
      <x:c r="C23" s="19" t="str">
        <x:v>허용 가능한 CAC</x:v>
      </x:c>
      <x:c r="D23" s="19" t="str">
        <x:v>원</x:v>
      </x:c>
      <x:c r="E23" s="19"/>
      <x:c r="F23" s="21" t="n">
        <x:f>F18-F22</x:f>
        <x:v>37525.781818181815</x:v>
      </x:c>
      <x:c r="G23" s="21" t="n">
        <x:f>G18-G22</x:f>
        <x:v>43895.62727272725</x:v>
      </x:c>
      <x:c r="H23" s="21" t="n">
        <x:f>H18-H22</x:f>
        <x:v>49265.4727272727</x:v>
      </x:c>
      <x:c r="I23" s="2"/>
      <x:c r="J23" s="2"/>
      <x:c r="K23" s="2"/>
      <x:c r="L23" s="2"/>
    </x:row>
    <x:row r="24" ht="23" customHeight="1">
      <x:c r="A24" s="2"/>
      <x:c r="B24" s="2"/>
      <x:c r="C24" s="2" t="str">
        <x:v>목표 CM2에 필요한 전환율</x:v>
      </x:c>
      <x:c r="D24" s="2" t="str">
        <x:v>%</x:v>
      </x:c>
      <x:c r="E24" s="2"/>
      <x:c r="F24" s="32" t="n">
        <x:f>IF(F23&gt;0,'01_가정'!F18/F23,"n.a.")</x:f>
        <x:v>0.023983510972819658</x:v>
      </x:c>
      <x:c r="G24" s="32" t="n">
        <x:f>IF(G23&gt;0,'01_가정'!G18/G23,"n.a.")</x:f>
        <x:v>0.018225049958382693</x:v>
      </x:c>
      <x:c r="H24" s="32" t="n">
        <x:f>IF(H23&gt;0,'01_가정'!H18/H23,"n.a.")</x:f>
        <x:v>0.015223643628711394</x:v>
      </x:c>
      <x:c r="I24" s="2"/>
      <x:c r="J24" s="2"/>
      <x:c r="K24" s="2"/>
      <x:c r="L24" s="2"/>
    </x:row>
    <x:row r="25" ht="23" customHeight="1">
      <x:c r="A25" s="2"/>
      <x:c r="B25" s="2"/>
      <x:c r="C25" s="2" t="str">
        <x:v>월 고정 인건비와 운영비</x:v>
      </x:c>
      <x:c r="D25" s="2" t="str">
        <x:v>원</x:v>
      </x:c>
      <x:c r="E25" s="2"/>
      <x:c r="F25" s="31" t="n">
        <x:f>'01_가정'!F58*'01_가정'!F62+'01_가정'!F66</x:f>
        <x:v>15500000</x:v>
      </x:c>
      <x:c r="G25" s="31" t="n">
        <x:f>'01_가정'!G58*'01_가정'!G62+'01_가정'!G66</x:f>
        <x:v>17100000</x:v>
      </x:c>
      <x:c r="H25" s="31" t="n">
        <x:f>'01_가정'!H58*'01_가정'!H62+'01_가정'!H66</x:f>
        <x:v>24000000</x:v>
      </x:c>
      <x:c r="I25" s="2"/>
      <x:c r="J25" s="2"/>
      <x:c r="K25" s="2"/>
      <x:c r="L25" s="2"/>
    </x:row>
    <x:row r="26" ht="23" customHeight="1">
      <x:c r="A26" s="2"/>
      <x:c r="B26" s="2"/>
      <x:c r="C26" s="19" t="str">
        <x:v>인건비·운영비 회수 출고량</x:v>
      </x:c>
      <x:c r="D26" s="19" t="str">
        <x:v>개</x:v>
      </x:c>
      <x:c r="E26" s="19"/>
      <x:c r="F26" s="21" t="n">
        <x:f>IF(AND(ISNUMBER(F20),F20&gt;0),ROUNDUP(F25/F20,0),"n.a.")</x:f>
        <x:v>721</x:v>
      </x:c>
      <x:c r="G26" s="21" t="n">
        <x:f>IF(AND(ISNUMBER(G20),G20&gt;0),ROUNDUP(G25/G20,0),"n.a.")</x:f>
        <x:v>460</x:v>
      </x:c>
      <x:c r="H26" s="21" t="n">
        <x:f>IF(AND(ISNUMBER(H20),H20&gt;0),ROUNDUP(H25/H20,0),"n.a.")</x:f>
        <x:v>502</x:v>
      </x:c>
      <x:c r="I26" s="2"/>
      <x:c r="J26" s="2"/>
      <x:c r="K26" s="2"/>
      <x:c r="L26" s="2"/>
    </x:row>
    <x:row r="27" ht="23" customHeight="1">
      <x:c r="A27" s="2"/>
      <x:c r="B27" s="2"/>
      <x:c r="C27" s="2"/>
      <x:c r="D27" s="2"/>
      <x:c r="E27" s="2"/>
      <x:c r="F27" s="2"/>
      <x:c r="G27" s="2"/>
      <x:c r="H27" s="2"/>
      <x:c r="I27" s="2"/>
      <x:c r="J27" s="2"/>
      <x:c r="K27" s="2"/>
      <x:c r="L27" s="2"/>
    </x:row>
    <x:row r="28" ht="23" customHeight="1">
      <x:c r="A28" s="2"/>
      <x:c r="B28" s="2"/>
      <x:c r="C28" s="2"/>
      <x:c r="D28" s="2"/>
      <x:c r="E28" s="2"/>
      <x:c r="F28" s="2"/>
      <x:c r="G28" s="2"/>
      <x:c r="H28" s="2"/>
      <x:c r="I28" s="2"/>
      <x:c r="J28" s="2"/>
      <x:c r="K28" s="2"/>
      <x:c r="L28" s="2"/>
    </x:row>
    <x:row r="29" ht="23" customHeight="1">
      <x:c r="A29" s="2"/>
      <x:c r="B29" s="2"/>
      <x:c r="C29" s="19" t="str">
        <x:v>납품 채널은 공급가로 매출 인식</x:v>
      </x:c>
      <x:c r="D29" s="19"/>
      <x:c r="E29" s="19"/>
      <x:c r="F29" s="19"/>
      <x:c r="G29" s="19"/>
      <x:c r="H29" s="19"/>
      <x:c r="I29" s="2"/>
      <x:c r="J29" s="2"/>
      <x:c r="K29" s="2"/>
      <x:c r="L29" s="2"/>
    </x:row>
    <x:row r="30" ht="23" customHeight="1">
      <x:c r="A30" s="2"/>
      <x:c r="B30" s="2"/>
      <x:c r="C30" s="2" t="str">
        <x:v>리테일 VAT 제외 공급가</x:v>
      </x:c>
      <x:c r="D30" s="2" t="str">
        <x:v>원</x:v>
      </x:c>
      <x:c r="E30" s="2"/>
      <x:c r="F30" s="31" t="n">
        <x:f>'01_가정'!F10/(1+'01_가정'!$F$85)*'01_가정'!F54</x:f>
        <x:v>81272.72727272726</x:v>
      </x:c>
      <x:c r="G30" s="31" t="n">
        <x:f>'01_가정'!G10/(1+'01_가정'!$F$85)*'01_가정'!G54</x:f>
        <x:v>81272.72727272726</x:v>
      </x:c>
      <x:c r="H30" s="31" t="n">
        <x:f>'01_가정'!H10/(1+'01_가정'!$F$85)*'01_가정'!H54</x:f>
        <x:v>81272.72727272726</x:v>
      </x:c>
      <x:c r="I30" s="2"/>
      <x:c r="J30" s="2"/>
      <x:c r="K30" s="2"/>
      <x:c r="L30" s="2"/>
    </x:row>
    <x:row r="31" ht="23" customHeight="1">
      <x:c r="A31" s="2"/>
      <x:c r="B31" s="2"/>
      <x:c r="C31" s="2" t="str">
        <x:v>리테일 비반품 비율</x:v>
      </x:c>
      <x:c r="D31" s="2" t="str">
        <x:v>%</x:v>
      </x:c>
      <x:c r="E31" s="2"/>
      <x:c r="F31" s="32" t="n">
        <x:f>1-'01_가정'!$F$98</x:f>
        <x:v>0.97</x:v>
      </x:c>
      <x:c r="G31" s="32" t="n">
        <x:f>1-'01_가정'!$F$98</x:f>
        <x:v>0.97</x:v>
      </x:c>
      <x:c r="H31" s="32" t="n">
        <x:f>1-'01_가정'!$F$98</x:f>
        <x:v>0.97</x:v>
      </x:c>
      <x:c r="I31" s="2"/>
      <x:c r="J31" s="2"/>
      <x:c r="K31" s="2"/>
      <x:c r="L31" s="2"/>
    </x:row>
    <x:row r="32" ht="23" customHeight="1">
      <x:c r="A32" s="2"/>
      <x:c r="B32" s="2"/>
      <x:c r="C32" s="2" t="str">
        <x:v>리테일 출고당 순매출</x:v>
      </x:c>
      <x:c r="D32" s="2" t="str">
        <x:v>원</x:v>
      </x:c>
      <x:c r="E32" s="2"/>
      <x:c r="F32" s="33" t="n">
        <x:f>F30*F31</x:f>
        <x:v>78834.54545454544</x:v>
      </x:c>
      <x:c r="G32" s="33" t="n">
        <x:f>G30*G31</x:f>
        <x:v>78834.54545454544</x:v>
      </x:c>
      <x:c r="H32" s="33" t="n">
        <x:f>H30*H31</x:f>
        <x:v>78834.54545454544</x:v>
      </x:c>
      <x:c r="I32" s="2"/>
      <x:c r="J32" s="2"/>
      <x:c r="K32" s="2"/>
      <x:c r="L32" s="2"/>
    </x:row>
    <x:row r="33" ht="23" customHeight="1">
      <x:c r="A33" s="2"/>
      <x:c r="B33" s="2"/>
      <x:c r="C33" s="2" t="str">
        <x:v>리테일 제품 원가</x:v>
      </x:c>
      <x:c r="D33" s="2" t="str">
        <x:v>원</x:v>
      </x:c>
      <x:c r="E33" s="2"/>
      <x:c r="F33" s="31" t="n">
        <x:f>'01_가정'!F14</x:f>
        <x:v>55000</x:v>
      </x:c>
      <x:c r="G33" s="31" t="n">
        <x:f>'01_가정'!G14</x:f>
        <x:v>50000</x:v>
      </x:c>
      <x:c r="H33" s="31" t="n">
        <x:f>'01_가정'!H14</x:f>
        <x:v>46000</x:v>
      </x:c>
      <x:c r="I33" s="2"/>
      <x:c r="J33" s="2"/>
      <x:c r="K33" s="2"/>
      <x:c r="L33" s="2"/>
    </x:row>
    <x:row r="34" ht="23" customHeight="1">
      <x:c r="A34" s="2"/>
      <x:c r="B34" s="2"/>
      <x:c r="C34" s="2" t="str">
        <x:v>리테일 물류비</x:v>
      </x:c>
      <x:c r="D34" s="2" t="str">
        <x:v>원</x:v>
      </x:c>
      <x:c r="E34" s="2"/>
      <x:c r="F34" s="31" t="n">
        <x:f>'01_가정'!$F$97</x:f>
        <x:v>2000</x:v>
      </x:c>
      <x:c r="G34" s="31" t="n">
        <x:f>'01_가정'!$F$97</x:f>
        <x:v>2000</x:v>
      </x:c>
      <x:c r="H34" s="31" t="n">
        <x:f>'01_가정'!$F$97</x:f>
        <x:v>2000</x:v>
      </x:c>
      <x:c r="I34" s="2"/>
      <x:c r="J34" s="2"/>
      <x:c r="K34" s="2"/>
      <x:c r="L34" s="2"/>
    </x:row>
    <x:row r="35" ht="23" customHeight="1">
      <x:c r="A35" s="2"/>
      <x:c r="B35" s="2"/>
      <x:c r="C35" s="2" t="str">
        <x:v>리테일 기대 반품 처리비</x:v>
      </x:c>
      <x:c r="D35" s="2" t="str">
        <x:v>원</x:v>
      </x:c>
      <x:c r="E35" s="2"/>
      <x:c r="F35" s="31" t="n">
        <x:f>(1-F31)*'01_가정'!$F$88</x:f>
        <x:v>180.00000000000017</x:v>
      </x:c>
      <x:c r="G35" s="31" t="n">
        <x:f>(1-G31)*'01_가정'!$F$88</x:f>
        <x:v>180.00000000000017</x:v>
      </x:c>
      <x:c r="H35" s="31" t="n">
        <x:f>(1-H31)*'01_가정'!$F$88</x:f>
        <x:v>180.00000000000017</x:v>
      </x:c>
      <x:c r="I35" s="2"/>
      <x:c r="J35" s="2"/>
      <x:c r="K35" s="2"/>
      <x:c r="L35" s="2"/>
    </x:row>
    <x:row r="36" ht="23" customHeight="1">
      <x:c r="A36" s="2"/>
      <x:c r="B36" s="2"/>
      <x:c r="C36" s="2" t="str">
        <x:v>리테일 AS 기대비용</x:v>
      </x:c>
      <x:c r="D36" s="2" t="str">
        <x:v>원</x:v>
      </x:c>
      <x:c r="E36" s="2"/>
      <x:c r="F36" s="31" t="n">
        <x:f>'01_가정'!$F$89</x:f>
        <x:v>2000</x:v>
      </x:c>
      <x:c r="G36" s="31" t="n">
        <x:f>'01_가정'!$F$89</x:f>
        <x:v>2000</x:v>
      </x:c>
      <x:c r="H36" s="31" t="n">
        <x:f>'01_가정'!$F$89</x:f>
        <x:v>2000</x:v>
      </x:c>
      <x:c r="I36" s="2"/>
      <x:c r="J36" s="2"/>
      <x:c r="K36" s="2"/>
      <x:c r="L36" s="2"/>
    </x:row>
    <x:row r="37" ht="23" customHeight="1">
      <x:c r="A37" s="2"/>
      <x:c r="B37" s="2"/>
      <x:c r="C37" s="2" t="str">
        <x:v>리테일 상담비</x:v>
      </x:c>
      <x:c r="D37" s="2" t="str">
        <x:v>원</x:v>
      </x:c>
      <x:c r="E37" s="2"/>
      <x:c r="F37" s="31" t="n">
        <x:f>'01_가정'!$F$90</x:f>
        <x:v>1000</x:v>
      </x:c>
      <x:c r="G37" s="31" t="n">
        <x:f>'01_가정'!$F$90</x:f>
        <x:v>1000</x:v>
      </x:c>
      <x:c r="H37" s="31" t="n">
        <x:f>'01_가정'!$F$90</x:f>
        <x:v>1000</x:v>
      </x:c>
      <x:c r="I37" s="2"/>
      <x:c r="J37" s="2"/>
      <x:c r="K37" s="2"/>
      <x:c r="L37" s="2"/>
    </x:row>
    <x:row r="38" ht="23" customHeight="1">
      <x:c r="A38" s="2"/>
      <x:c r="B38" s="2"/>
      <x:c r="C38" s="19" t="str">
        <x:v>리테일 출고당 공헌이익</x:v>
      </x:c>
      <x:c r="D38" s="19" t="str">
        <x:v>원</x:v>
      </x:c>
      <x:c r="E38" s="19"/>
      <x:c r="F38" s="21" t="n">
        <x:f>F32-SUM(F33:F37)</x:f>
        <x:v>18654.54545454544</x:v>
      </x:c>
      <x:c r="G38" s="21" t="n">
        <x:f>G32-SUM(G33:G37)</x:f>
        <x:v>23654.54545454544</x:v>
      </x:c>
      <x:c r="H38" s="21" t="n">
        <x:f>H32-SUM(H33:H37)</x:f>
        <x:v>27654.54545454544</x:v>
      </x:c>
      <x:c r="I38" s="2"/>
      <x:c r="J38" s="2"/>
      <x:c r="K38" s="2"/>
      <x:c r="L38" s="2"/>
    </x:row>
    <x:row r="39" ht="23" customHeight="1">
      <x:c r="A39" s="2"/>
      <x:c r="B39" s="2"/>
      <x:c r="C39" s="2"/>
      <x:c r="D39" s="2"/>
      <x:c r="E39" s="2"/>
      <x:c r="F39" s="2"/>
      <x:c r="G39" s="2"/>
      <x:c r="H39" s="2"/>
      <x:c r="I39" s="2"/>
      <x:c r="J39" s="2"/>
      <x:c r="K39" s="2"/>
      <x:c r="L39" s="2"/>
    </x:row>
    <x:row r="40" ht="23" customHeight="1">
      <x:c r="A40" s="2"/>
      <x:c r="B40" s="2"/>
      <x:c r="C40" s="2"/>
      <x:c r="D40" s="2"/>
      <x:c r="E40" s="2"/>
      <x:c r="F40" s="2"/>
      <x:c r="G40" s="2"/>
      <x:c r="H40" s="2"/>
      <x:c r="I40" s="2"/>
      <x:c r="J40" s="2"/>
      <x:c r="K40" s="2"/>
      <x:c r="L40" s="2"/>
    </x:row>
    <x:row r="41" ht="23" customHeight="1">
      <x:c r="A41" s="2"/>
      <x:c r="B41" s="2"/>
      <x:c r="C41" s="2"/>
      <x:c r="D41" s="2"/>
      <x:c r="E41" s="2"/>
      <x:c r="F41" s="2"/>
      <x:c r="G41" s="2"/>
      <x:c r="H41" s="2"/>
      <x:c r="I41" s="2"/>
      <x:c r="J41" s="2"/>
      <x:c r="K41" s="2"/>
      <x:c r="L41" s="2"/>
    </x:row>
    <x:row r="42" ht="23" customHeight="1">
      <x:c r="A42" s="2"/>
      <x:c r="B42" s="2"/>
      <x:c r="C42" s="19" t="str">
        <x:v>리필은 실제 유료 재구매만 반영</x:v>
      </x:c>
      <x:c r="D42" s="19"/>
      <x:c r="E42" s="19"/>
      <x:c r="F42" s="19"/>
      <x:c r="G42" s="19"/>
      <x:c r="H42" s="19"/>
      <x:c r="I42" s="2"/>
      <x:c r="J42" s="2"/>
      <x:c r="K42" s="2"/>
      <x:c r="L42" s="2"/>
    </x:row>
    <x:row r="43" ht="23" customHeight="1">
      <x:c r="A43" s="2"/>
      <x:c r="B43" s="2"/>
      <x:c r="C43" s="2" t="str">
        <x:v>리필 24개팩 실결제가</x:v>
      </x:c>
      <x:c r="D43" s="2" t="str">
        <x:v>원</x:v>
      </x:c>
      <x:c r="E43" s="2"/>
      <x:c r="F43" s="31" t="n">
        <x:f>'01_가정'!F70</x:f>
        <x:v>12900</x:v>
      </x:c>
      <x:c r="G43" s="31" t="n">
        <x:f>'01_가정'!G70</x:f>
        <x:v>12900</x:v>
      </x:c>
      <x:c r="H43" s="31" t="n">
        <x:f>'01_가정'!H70</x:f>
        <x:v>12900</x:v>
      </x:c>
      <x:c r="I43" s="2"/>
      <x:c r="J43" s="2"/>
      <x:c r="K43" s="2"/>
      <x:c r="L43" s="2"/>
    </x:row>
    <x:row r="44" ht="23" customHeight="1">
      <x:c r="A44" s="2"/>
      <x:c r="B44" s="2"/>
      <x:c r="C44" s="2" t="str">
        <x:v>리필 주문당 순매출</x:v>
      </x:c>
      <x:c r="D44" s="2" t="str">
        <x:v>원</x:v>
      </x:c>
      <x:c r="E44" s="2"/>
      <x:c r="F44" s="31" t="n">
        <x:f>F43/(1+'01_가정'!$F$85)*(1-'01_가정'!$F$93)</x:f>
        <x:v>11492.727272727272</x:v>
      </x:c>
      <x:c r="G44" s="31" t="n">
        <x:f>G43/(1+'01_가정'!$F$85)*(1-'01_가정'!$F$93)</x:f>
        <x:v>11492.727272727272</x:v>
      </x:c>
      <x:c r="H44" s="31" t="n">
        <x:f>H43/(1+'01_가정'!$F$85)*(1-'01_가정'!$F$93)</x:f>
        <x:v>11492.727272727272</x:v>
      </x:c>
      <x:c r="I44" s="2"/>
      <x:c r="J44" s="2"/>
      <x:c r="K44" s="2"/>
      <x:c r="L44" s="2"/>
    </x:row>
    <x:row r="45" ht="23" customHeight="1">
      <x:c r="A45" s="2"/>
      <x:c r="B45" s="2"/>
      <x:c r="C45" s="2" t="str">
        <x:v>리필 제품 원가</x:v>
      </x:c>
      <x:c r="D45" s="2" t="str">
        <x:v>원</x:v>
      </x:c>
      <x:c r="E45" s="2"/>
      <x:c r="F45" s="31" t="n">
        <x:f>'01_가정'!F74</x:f>
        <x:v>3500</x:v>
      </x:c>
      <x:c r="G45" s="31" t="n">
        <x:f>'01_가정'!G74</x:f>
        <x:v>3200</x:v>
      </x:c>
      <x:c r="H45" s="31" t="n">
        <x:f>'01_가정'!H74</x:f>
        <x:v>3000</x:v>
      </x:c>
      <x:c r="I45" s="2"/>
      <x:c r="J45" s="2"/>
      <x:c r="K45" s="2"/>
      <x:c r="L45" s="2"/>
    </x:row>
    <x:row r="46" ht="23" customHeight="1">
      <x:c r="A46" s="2"/>
      <x:c r="B46" s="2"/>
      <x:c r="C46" s="2" t="str">
        <x:v>리필 결제 수수료</x:v>
      </x:c>
      <x:c r="D46" s="2" t="str">
        <x:v>원</x:v>
      </x:c>
      <x:c r="E46" s="2"/>
      <x:c r="F46" s="31" t="n">
        <x:f>F44*'01_가정'!$F$92</x:f>
        <x:v>379.26</x:v>
      </x:c>
      <x:c r="G46" s="31" t="n">
        <x:f>G44*'01_가정'!$F$92</x:f>
        <x:v>379.26</x:v>
      </x:c>
      <x:c r="H46" s="31" t="n">
        <x:f>H44*'01_가정'!$F$92</x:f>
        <x:v>379.26</x:v>
      </x:c>
      <x:c r="I46" s="2"/>
      <x:c r="J46" s="2"/>
      <x:c r="K46" s="2"/>
      <x:c r="L46" s="2"/>
    </x:row>
    <x:row r="47" ht="23" customHeight="1">
      <x:c r="A47" s="2"/>
      <x:c r="B47" s="2"/>
      <x:c r="C47" s="2" t="str">
        <x:v>리필 출고 물류비</x:v>
      </x:c>
      <x:c r="D47" s="2" t="str">
        <x:v>원</x:v>
      </x:c>
      <x:c r="E47" s="2"/>
      <x:c r="F47" s="31" t="n">
        <x:f>'01_가정'!$F$91</x:f>
        <x:v>3000</x:v>
      </x:c>
      <x:c r="G47" s="31" t="n">
        <x:f>'01_가정'!$F$91</x:f>
        <x:v>3000</x:v>
      </x:c>
      <x:c r="H47" s="31" t="n">
        <x:f>'01_가정'!$F$91</x:f>
        <x:v>3000</x:v>
      </x:c>
      <x:c r="I47" s="2"/>
      <x:c r="J47" s="2"/>
      <x:c r="K47" s="2"/>
      <x:c r="L47" s="2"/>
    </x:row>
    <x:row r="48" ht="23" customHeight="1">
      <x:c r="A48" s="2"/>
      <x:c r="B48" s="2"/>
      <x:c r="C48" s="2" t="str">
        <x:v>리필 반품 처리 기대비용</x:v>
      </x:c>
      <x:c r="D48" s="2" t="str">
        <x:v>원</x:v>
      </x:c>
      <x:c r="E48" s="2"/>
      <x:c r="F48" s="31" t="n">
        <x:f>'01_가정'!$F$93*'01_가정'!$F$88</x:f>
        <x:v>120</x:v>
      </x:c>
      <x:c r="G48" s="31" t="n">
        <x:f>'01_가정'!$F$93*'01_가정'!$F$88</x:f>
        <x:v>120</x:v>
      </x:c>
      <x:c r="H48" s="31" t="n">
        <x:f>'01_가정'!$F$93*'01_가정'!$F$88</x:f>
        <x:v>120</x:v>
      </x:c>
      <x:c r="I48" s="2"/>
      <x:c r="J48" s="2"/>
      <x:c r="K48" s="2"/>
      <x:c r="L48" s="2"/>
    </x:row>
    <x:row r="49" ht="23" customHeight="1">
      <x:c r="A49" s="2"/>
      <x:c r="B49" s="2"/>
      <x:c r="C49" s="19" t="str">
        <x:v>리필 주문당 공헌이익</x:v>
      </x:c>
      <x:c r="D49" s="19" t="str">
        <x:v>원</x:v>
      </x:c>
      <x:c r="E49" s="19"/>
      <x:c r="F49" s="21" t="n">
        <x:f>F44-SUM(F45:F48)</x:f>
        <x:v>4493.467272727272</x:v>
      </x:c>
      <x:c r="G49" s="21" t="n">
        <x:f>G44-SUM(G45:G48)</x:f>
        <x:v>4793.467272727272</x:v>
      </x:c>
      <x:c r="H49" s="21" t="n">
        <x:f>H44-SUM(H45:H48)</x:f>
        <x:v>4993.467272727272</x:v>
      </x:c>
      <x:c r="I49" s="2"/>
      <x:c r="J49" s="2"/>
      <x:c r="K49" s="2"/>
      <x:c r="L49" s="2"/>
    </x:row>
    <x:row r="50" ht="23" customHeight="1">
      <x:c r="A50" s="2"/>
      <x:c r="B50" s="2"/>
      <x:c r="C50" s="2" t="str">
        <x:v>첫 리필 참여율</x:v>
      </x:c>
      <x:c r="D50" s="2" t="str">
        <x:v>%</x:v>
      </x:c>
      <x:c r="E50" s="2"/>
      <x:c r="F50" s="32" t="n">
        <x:f>'01_가정'!F30</x:f>
        <x:v>0.25</x:v>
      </x:c>
      <x:c r="G50" s="32" t="n">
        <x:f>'01_가정'!G30</x:f>
        <x:v>0.3</x:v>
      </x:c>
      <x:c r="H50" s="32" t="n">
        <x:f>'01_가정'!H30</x:f>
        <x:v>0.35</x:v>
      </x:c>
      <x:c r="I50" s="2"/>
      <x:c r="J50" s="2"/>
      <x:c r="K50" s="2"/>
      <x:c r="L50" s="2"/>
    </x:row>
    <x:row r="51" ht="23" customHeight="1">
      <x:c r="A51" s="2"/>
      <x:c r="B51" s="2"/>
      <x:c r="C51" s="2" t="str">
        <x:v>월 리필 유지율</x:v>
      </x:c>
      <x:c r="D51" s="2" t="str">
        <x:v>%</x:v>
      </x:c>
      <x:c r="E51" s="2"/>
      <x:c r="F51" s="32" t="n">
        <x:f>'01_가정'!F34</x:f>
        <x:v>0.9</x:v>
      </x:c>
      <x:c r="G51" s="32" t="n">
        <x:f>'01_가정'!G34</x:f>
        <x:v>0.91</x:v>
      </x:c>
      <x:c r="H51" s="32" t="n">
        <x:f>'01_가정'!H34</x:f>
        <x:v>0.92</x:v>
      </x:c>
      <x:c r="I51" s="2"/>
      <x:c r="J51" s="2"/>
      <x:c r="K51" s="2"/>
      <x:c r="L51" s="2"/>
    </x:row>
    <x:row r="52" ht="23" customHeight="1">
      <x:c r="A52" s="2"/>
      <x:c r="B52" s="2"/>
      <x:c r="C52" s="2" t="str">
        <x:v>첫 출고당 12개월 리필 주문</x:v>
      </x:c>
      <x:c r="D52" s="2" t="str">
        <x:v>팩</x:v>
      </x:c>
      <x:c r="E52" s="2"/>
      <x:c r="F52" s="35" t="n">
        <x:f>F10*F50*'01_가정'!$F$94*IF(F51=1,11,(1-F51^11)/(1-F51))</x:f>
        <x:v>1.5782356289930002</x:v>
      </x:c>
      <x:c r="G52" s="35" t="n">
        <x:f>G10*G50*'01_가정'!$F$94*IF(G51=1,11,(1-G51^11)/(1-G51))</x:f>
        <x:v>2.0014571307888187</x:v>
      </x:c>
      <x:c r="H52" s="35" t="n">
        <x:f>H10*H50*'01_가정'!$F$94*IF(H51=1,11,(1-H51^11)/(1-H51))</x:f>
        <x:v>2.468991283444888</x:v>
      </x:c>
      <x:c r="I52" s="2"/>
      <x:c r="J52" s="2"/>
      <x:c r="K52" s="2"/>
      <x:c r="L52" s="2"/>
    </x:row>
    <x:row r="53" ht="23" customHeight="1">
      <x:c r="A53" s="2"/>
      <x:c r="B53" s="2"/>
      <x:c r="C53" s="2" t="str">
        <x:v>12개월 추가 리필 공헌이익</x:v>
      </x:c>
      <x:c r="D53" s="2" t="str">
        <x:v>원</x:v>
      </x:c>
      <x:c r="E53" s="2"/>
      <x:c r="F53" s="33" t="n">
        <x:f>F52*F49</x:f>
        <x:v>7091.750147532187</x:v>
      </x:c>
      <x:c r="G53" s="33" t="n">
        <x:f>G52*G49</x:f>
        <x:v>9593.919254202829</x:v>
      </x:c>
      <x:c r="H53" s="33" t="n">
        <x:f>H52*H49</x:f>
        <x:v>12328.82717053095</x:v>
      </x:c>
      <x:c r="I53" s="2"/>
      <x:c r="J53" s="2"/>
      <x:c r="K53" s="2"/>
      <x:c r="L53" s="2"/>
    </x:row>
    <x:row r="54" ht="23" customHeight="1">
      <x:c r="A54" s="2"/>
      <x:c r="B54" s="2"/>
      <x:c r="C54" s="2" t="str">
        <x:v>12개월 광고 전 공헌이익</x:v>
      </x:c>
      <x:c r="D54" s="2" t="str">
        <x:v>원</x:v>
      </x:c>
      <x:c r="E54" s="2"/>
      <x:c r="F54" s="33" t="n">
        <x:f>F18+F53</x:f>
        <x:v>64617.531965714</x:v>
      </x:c>
      <x:c r="G54" s="33" t="n">
        <x:f>G18+G53</x:f>
        <x:v>73489.54652693008</x:v>
      </x:c>
      <x:c r="H54" s="33" t="n">
        <x:f>H18+H53</x:f>
        <x:v>81594.29989780365</x:v>
      </x:c>
      <x:c r="I54" s="2"/>
      <x:c r="J54" s="2"/>
      <x:c r="K54" s="2"/>
      <x:c r="L54" s="2"/>
    </x:row>
    <x:row r="55" ht="23" customHeight="1">
      <x:c r="A55" s="2"/>
      <x:c r="B55" s="2"/>
      <x:c r="C55" s="19" t="str">
        <x:v>12개월 광고 후 공헌이익</x:v>
      </x:c>
      <x:c r="D55" s="19" t="str">
        <x:v>원</x:v>
      </x:c>
      <x:c r="E55" s="19"/>
      <x:c r="F55" s="21" t="n">
        <x:f>IF(ISNUMBER(F19),F54-F19,"n.a.")</x:f>
        <x:v>28617.531965714</x:v>
      </x:c>
      <x:c r="G55" s="21" t="n">
        <x:f>IF(ISNUMBER(G19),G54-G19,"n.a.")</x:f>
        <x:v>46822.879860263405</x:v>
      </x:c>
      <x:c r="H55" s="21" t="n">
        <x:f>IF(ISNUMBER(H19),H54-H19,"n.a.")</x:f>
        <x:v>60165.72846923222</x:v>
      </x:c>
      <x:c r="I55" s="2"/>
      <x:c r="J55" s="2"/>
      <x:c r="K55" s="2"/>
      <x:c r="L55" s="2"/>
    </x:row>
    <x:row r="56" ht="23" customHeight="1">
      <x:c r="A56" s="2"/>
      <x:c r="B56" s="2"/>
      <x:c r="C56" s="2" t="str">
        <x:v>12개월 광고 전 이익 대 CAC</x:v>
      </x:c>
      <x:c r="D56" s="2" t="str">
        <x:v>배</x:v>
      </x:c>
      <x:c r="E56" s="2"/>
      <x:c r="F56" s="36" t="n">
        <x:f>IF(AND(ISNUMBER(F19),F19&gt;0),F54/F19,"n.a.")</x:f>
        <x:v>1.7949314434920556</x:v>
      </x:c>
      <x:c r="G56" s="36" t="n">
        <x:f>IF(AND(ISNUMBER(G19),G19&gt;0),G54/G19,"n.a.")</x:f>
        <x:v>2.755857994759878</x:v>
      </x:c>
      <x:c r="H56" s="36" t="n">
        <x:f>IF(AND(ISNUMBER(H19),H19&gt;0),H54/H19,"n.a.")</x:f>
        <x:v>3.807733995230837</x:v>
      </x:c>
      <x:c r="I56" s="2"/>
      <x:c r="J56" s="2"/>
      <x:c r="K56" s="2"/>
      <x:c r="L56" s="2"/>
    </x:row>
    <x:row r="57" ht="23" customHeight="1">
      <x:c r="A57" s="2"/>
      <x:c r="B57" s="2"/>
      <x:c r="C57" s="2"/>
      <x:c r="D57" s="2"/>
      <x:c r="E57" s="2"/>
      <x:c r="F57" s="2"/>
      <x:c r="G57" s="2"/>
      <x:c r="H57" s="2"/>
      <x:c r="I57" s="2"/>
      <x:c r="J57" s="2"/>
      <x:c r="K57" s="2"/>
      <x:c r="L57" s="2"/>
    </x:row>
    <x:row r="58" ht="23" customHeight="1">
      <x:c r="A58" s="2"/>
      <x:c r="B58" s="2"/>
      <x:c r="C58" s="2"/>
      <x:c r="D58" s="2"/>
      <x:c r="E58" s="2"/>
      <x:c r="F58" s="2"/>
      <x:c r="G58" s="2"/>
      <x:c r="H58" s="2"/>
      <x:c r="I58" s="2"/>
      <x:c r="J58" s="2"/>
      <x:c r="K58" s="2"/>
      <x:c r="L58" s="2"/>
    </x:row>
    <x:row r="59" ht="36" customHeight="1">
      <x:c r="A59" s="2"/>
      <x:c r="B59" s="2"/>
      <x:c r="C59" s="13" t="str">
        <x:v>CM2는 고정비 차감 전입니다. 본체 원가와 반품 손실을 모두 반영했습니다. 리필 12개월 계산은 첫 구매 다음 달부터 11회 기회를 가정한 유한 기간 계산입니다.</x:v>
      </x:c>
      <x:c r="D59" s="13"/>
      <x:c r="E59" s="13"/>
      <x:c r="F59" s="13"/>
      <x:c r="G59" s="13"/>
      <x:c r="H59" s="13"/>
      <x:c r="I59" s="13"/>
      <x:c r="J59" s="13"/>
      <x:c r="K59" s="13"/>
      <x:c r="L59" s="13"/>
    </x:row>
    <x:row r="60" ht="23" customHeight="1">
      <x:c r="A60" s="2"/>
      <x:c r="B60" s="2"/>
      <x:c r="C60" s="2"/>
      <x:c r="D60" s="2"/>
      <x:c r="E60" s="2"/>
      <x:c r="F60" s="2"/>
      <x:c r="G60" s="2"/>
      <x:c r="H60" s="2"/>
      <x:c r="I60" s="2"/>
      <x:c r="J60" s="2"/>
      <x:c r="K60" s="2"/>
      <x:c r="L60" s="2"/>
    </x:row>
    <x:row r="61" ht="36" customHeight="1">
      <x:c r="A61" s="2"/>
      <x:c r="B61" s="2"/>
      <x:c r="C61" s="13" t="str">
        <x:v>손익분기 출고량은 리필과 자연 유입을 제외한 유료 유입만의 보수적 참고선이며, R&amp;D와 감가상각은 추가 회수가 필요합니다.</x:v>
      </x:c>
      <x:c r="D61" s="13"/>
      <x:c r="E61" s="13"/>
      <x:c r="F61" s="13"/>
      <x:c r="G61" s="13"/>
      <x:c r="H61" s="13"/>
      <x:c r="I61" s="13"/>
      <x:c r="J61" s="13"/>
      <x:c r="K61" s="13"/>
      <x:c r="L61" s="13"/>
    </x:row>
    <x:row r="62" ht="23" customHeight="1">
      <x:c r="A62" s="2"/>
      <x:c r="B62" s="2"/>
      <x:c r="C62" s="2"/>
      <x:c r="D62" s="2"/>
      <x:c r="E62" s="2"/>
      <x:c r="F62" s="2"/>
      <x:c r="G62" s="2"/>
      <x:c r="H62" s="2"/>
      <x:c r="I62" s="2"/>
      <x:c r="J62" s="2"/>
      <x:c r="K62" s="2"/>
      <x:c r="L62" s="2"/>
    </x:row>
    <x:row r="63" ht="23" customHeight="1">
      <x:c r="A63" s="2"/>
      <x:c r="B63" s="2"/>
      <x:c r="C63" s="2"/>
      <x:c r="D63" s="2"/>
      <x:c r="E63" s="2"/>
      <x:c r="F63" s="2"/>
      <x:c r="G63" s="2"/>
      <x:c r="H63" s="2"/>
      <x:c r="I63" s="2"/>
      <x:c r="J63" s="2"/>
      <x:c r="K63" s="2"/>
      <x:c r="L63" s="2"/>
    </x:row>
    <x:row r="64" ht="23" customHeight="1">
      <x:c r="A64" s="2"/>
      <x:c r="B64" s="2"/>
      <x:c r="C64" s="2"/>
      <x:c r="D64" s="2"/>
      <x:c r="E64" s="2"/>
      <x:c r="F64" s="2"/>
      <x:c r="G64" s="2"/>
      <x:c r="H64" s="2"/>
      <x:c r="I64" s="2"/>
      <x:c r="J64" s="2"/>
      <x:c r="K64" s="2"/>
      <x:c r="L64" s="2"/>
    </x:row>
    <x:row r="65" ht="23" customHeight="1">
      <x:c r="A65" s="2"/>
      <x:c r="B65" s="2"/>
      <x:c r="C65" s="2"/>
      <x:c r="D65" s="2"/>
      <x:c r="E65" s="2"/>
      <x:c r="F65" s="2"/>
      <x:c r="G65" s="2"/>
      <x:c r="H65" s="2"/>
      <x:c r="I65" s="2"/>
      <x:c r="J65" s="2"/>
      <x:c r="K65" s="2"/>
      <x:c r="L65" s="2"/>
    </x:row>
  </x:sheetData>
  <x:mergeCells>
    <x:mergeCell ref="C59:L59"/>
    <x:mergeCell ref="C61:L61"/>
  </x:mergeCells>
  <x:conditionalFormatting sqref="F18:H56">
    <x:cfRule type="cellIs" dxfId="0" priority="1" operator="lessThan">
      <x:formula>0</x:formula>
    </x:cfRule>
  </x:conditionalFormatting>
  <x:pageMargins left="0.7" right="0.7" top="0.75" bottom="0.75" header="0.3" footer="0.3"/>
</x:worksheet>
</file>

<file path=xl/worksheets/sheet4.xml><?xml version="1.0" encoding="utf-8"?>
<x:worksheet xmlns:x="http://schemas.openxmlformats.org/spreadsheetml/2006/main">
  <x:sheetPr>
    <x:tabColor rgb="FFBCC8D3"/>
  </x:sheetPr>
  <x:sheetViews>
    <x:sheetView showGridLines="0" workbookViewId="0">
      <x:pane xSplit="3" ySplit="6" topLeftCell="D7" activePane="bottomRight" state="frozen"/>
    </x:sheetView>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17" hidden="0" customWidth="1"/>
    <x:col min="8" max="8" width="17" hidden="0" customWidth="1"/>
    <x:col min="9" max="9" width="3"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row>
    <x:row r="2" ht="35" customHeight="1">
      <x:c r="A2" s="2"/>
      <x:c r="B2" s="2"/>
      <x:c r="C2" s="3" t="str">
        <x:v>고객 유입에서 계산한 36개월 손익</x:v>
      </x:c>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ht="23"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ht="23" customHeight="1">
      <x:c r="A4" s="2"/>
      <x:c r="B4" s="2"/>
      <x:c r="C4" s="2" t="str">
        <x:v>선택 시나리오</x:v>
      </x:c>
      <x:c r="D4" s="2"/>
      <x:c r="E4" s="2"/>
      <x:c r="F4" s="51" t="str">
        <x:f>'01_가정'!H4</x:f>
        <x:v>기준</x:v>
      </x:c>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ht="30" customHeight="1">
      <x:c r="A5" s="2"/>
      <x:c r="B5" s="2"/>
      <x:c r="C5" s="2"/>
      <x:c r="D5" s="2"/>
      <x:c r="E5" s="2"/>
      <x:c r="F5" s="17" t="str">
        <x:v>1년차</x:v>
      </x:c>
      <x:c r="G5" s="17" t="str">
        <x:v>2년차</x:v>
      </x:c>
      <x:c r="H5" s="17" t="str">
        <x:v>3년차</x:v>
      </x:c>
      <x:c r="I5" s="2"/>
      <x:c r="J5" s="41" t="n">
        <x:f>EDATE('01_가정'!$F$5,0)</x:f>
        <x:v>46388</x:v>
      </x:c>
      <x:c r="K5" s="41" t="n">
        <x:f>EDATE('01_가정'!$F$5,1)</x:f>
        <x:v>46419</x:v>
      </x:c>
      <x:c r="L5" s="41" t="n">
        <x:f>EDATE('01_가정'!$F$5,2)</x:f>
        <x:v>46447</x:v>
      </x:c>
      <x:c r="M5" s="41" t="n">
        <x:f>EDATE('01_가정'!$F$5,3)</x:f>
        <x:v>46478</x:v>
      </x:c>
      <x:c r="N5" s="41" t="n">
        <x:f>EDATE('01_가정'!$F$5,4)</x:f>
        <x:v>46508</x:v>
      </x:c>
      <x:c r="O5" s="41" t="n">
        <x:f>EDATE('01_가정'!$F$5,5)</x:f>
        <x:v>46539</x:v>
      </x:c>
      <x:c r="P5" s="41" t="n">
        <x:f>EDATE('01_가정'!$F$5,6)</x:f>
        <x:v>46569</x:v>
      </x:c>
      <x:c r="Q5" s="41" t="n">
        <x:f>EDATE('01_가정'!$F$5,7)</x:f>
        <x:v>46600</x:v>
      </x:c>
      <x:c r="R5" s="41" t="n">
        <x:f>EDATE('01_가정'!$F$5,8)</x:f>
        <x:v>46631</x:v>
      </x:c>
      <x:c r="S5" s="41" t="n">
        <x:f>EDATE('01_가정'!$F$5,9)</x:f>
        <x:v>46661</x:v>
      </x:c>
      <x:c r="T5" s="41" t="n">
        <x:f>EDATE('01_가정'!$F$5,10)</x:f>
        <x:v>46692</x:v>
      </x:c>
      <x:c r="U5" s="41" t="n">
        <x:f>EDATE('01_가정'!$F$5,11)</x:f>
        <x:v>46722</x:v>
      </x:c>
      <x:c r="V5" s="41" t="n">
        <x:f>EDATE('01_가정'!$F$5,12)</x:f>
        <x:v>46753</x:v>
      </x:c>
      <x:c r="W5" s="41" t="n">
        <x:f>EDATE('01_가정'!$F$5,13)</x:f>
        <x:v>46784</x:v>
      </x:c>
      <x:c r="X5" s="41" t="n">
        <x:f>EDATE('01_가정'!$F$5,14)</x:f>
        <x:v>46813</x:v>
      </x:c>
      <x:c r="Y5" s="41" t="n">
        <x:f>EDATE('01_가정'!$F$5,15)</x:f>
        <x:v>46844</x:v>
      </x:c>
      <x:c r="Z5" s="41" t="n">
        <x:f>EDATE('01_가정'!$F$5,16)</x:f>
        <x:v>46874</x:v>
      </x:c>
      <x:c r="AA5" s="41" t="n">
        <x:f>EDATE('01_가정'!$F$5,17)</x:f>
        <x:v>46905</x:v>
      </x:c>
      <x:c r="AB5" s="41" t="n">
        <x:f>EDATE('01_가정'!$F$5,18)</x:f>
        <x:v>46935</x:v>
      </x:c>
      <x:c r="AC5" s="41" t="n">
        <x:f>EDATE('01_가정'!$F$5,19)</x:f>
        <x:v>46966</x:v>
      </x:c>
      <x:c r="AD5" s="41" t="n">
        <x:f>EDATE('01_가정'!$F$5,20)</x:f>
        <x:v>46997</x:v>
      </x:c>
      <x:c r="AE5" s="41" t="n">
        <x:f>EDATE('01_가정'!$F$5,21)</x:f>
        <x:v>47027</x:v>
      </x:c>
      <x:c r="AF5" s="41" t="n">
        <x:f>EDATE('01_가정'!$F$5,22)</x:f>
        <x:v>47058</x:v>
      </x:c>
      <x:c r="AG5" s="41" t="n">
        <x:f>EDATE('01_가정'!$F$5,23)</x:f>
        <x:v>47088</x:v>
      </x:c>
      <x:c r="AH5" s="41" t="n">
        <x:f>EDATE('01_가정'!$F$5,24)</x:f>
        <x:v>47119</x:v>
      </x:c>
      <x:c r="AI5" s="41" t="n">
        <x:f>EDATE('01_가정'!$F$5,25)</x:f>
        <x:v>47150</x:v>
      </x:c>
      <x:c r="AJ5" s="41" t="n">
        <x:f>EDATE('01_가정'!$F$5,26)</x:f>
        <x:v>47178</x:v>
      </x:c>
      <x:c r="AK5" s="41" t="n">
        <x:f>EDATE('01_가정'!$F$5,27)</x:f>
        <x:v>47209</x:v>
      </x:c>
      <x:c r="AL5" s="41" t="n">
        <x:f>EDATE('01_가정'!$F$5,28)</x:f>
        <x:v>47239</x:v>
      </x:c>
      <x:c r="AM5" s="41" t="n">
        <x:f>EDATE('01_가정'!$F$5,29)</x:f>
        <x:v>47270</x:v>
      </x:c>
      <x:c r="AN5" s="41" t="n">
        <x:f>EDATE('01_가정'!$F$5,30)</x:f>
        <x:v>47300</x:v>
      </x:c>
      <x:c r="AO5" s="41" t="n">
        <x:f>EDATE('01_가정'!$F$5,31)</x:f>
        <x:v>47331</x:v>
      </x:c>
      <x:c r="AP5" s="41" t="n">
        <x:f>EDATE('01_가정'!$F$5,32)</x:f>
        <x:v>47362</x:v>
      </x:c>
      <x:c r="AQ5" s="41" t="n">
        <x:f>EDATE('01_가정'!$F$5,33)</x:f>
        <x:v>47392</x:v>
      </x:c>
      <x:c r="AR5" s="41" t="n">
        <x:f>EDATE('01_가정'!$F$5,34)</x:f>
        <x:v>47423</x:v>
      </x:c>
      <x:c r="AS5" s="41" t="n">
        <x:f>EDATE('01_가정'!$F$5,35)</x:f>
        <x:v>47453</x:v>
      </x:c>
    </x:row>
    <x:row r="6" ht="23" customHeight="1">
      <x:c r="A6" s="2"/>
      <x:c r="B6" s="2"/>
      <x:c r="C6" s="2"/>
      <x:c r="D6" s="2"/>
      <x:c r="E6" s="2"/>
      <x:c r="F6" s="2"/>
      <x:c r="G6" s="2"/>
      <x:c r="H6" s="2"/>
      <x:c r="I6" s="2"/>
      <x:c r="J6" s="2" t="n">
        <x:v>1</x:v>
      </x:c>
      <x:c r="K6" s="2" t="n">
        <x:v>2</x:v>
      </x:c>
      <x:c r="L6" s="2" t="n">
        <x:v>3</x:v>
      </x:c>
      <x:c r="M6" s="2" t="n">
        <x:v>4</x:v>
      </x:c>
      <x:c r="N6" s="2" t="n">
        <x:v>5</x:v>
      </x:c>
      <x:c r="O6" s="2" t="n">
        <x:v>6</x:v>
      </x:c>
      <x:c r="P6" s="2" t="n">
        <x:v>7</x:v>
      </x:c>
      <x:c r="Q6" s="2" t="n">
        <x:v>8</x:v>
      </x:c>
      <x:c r="R6" s="2" t="n">
        <x:v>9</x:v>
      </x:c>
      <x:c r="S6" s="2" t="n">
        <x:v>10</x:v>
      </x:c>
      <x:c r="T6" s="2" t="n">
        <x:v>11</x:v>
      </x:c>
      <x:c r="U6" s="2" t="n">
        <x:v>12</x:v>
      </x:c>
      <x:c r="V6" s="2" t="n">
        <x:v>13</x:v>
      </x:c>
      <x:c r="W6" s="2" t="n">
        <x:v>14</x:v>
      </x:c>
      <x:c r="X6" s="2" t="n">
        <x:v>15</x:v>
      </x:c>
      <x:c r="Y6" s="2" t="n">
        <x:v>16</x:v>
      </x:c>
      <x:c r="Z6" s="2" t="n">
        <x:v>17</x:v>
      </x:c>
      <x:c r="AA6" s="2" t="n">
        <x:v>18</x:v>
      </x:c>
      <x:c r="AB6" s="2" t="n">
        <x:v>19</x:v>
      </x:c>
      <x:c r="AC6" s="2" t="n">
        <x:v>20</x:v>
      </x:c>
      <x:c r="AD6" s="2" t="n">
        <x:v>21</x:v>
      </x:c>
      <x:c r="AE6" s="2" t="n">
        <x:v>22</x:v>
      </x:c>
      <x:c r="AF6" s="2" t="n">
        <x:v>23</x:v>
      </x:c>
      <x:c r="AG6" s="2" t="n">
        <x:v>24</x:v>
      </x:c>
      <x:c r="AH6" s="2" t="n">
        <x:v>25</x:v>
      </x:c>
      <x:c r="AI6" s="2" t="n">
        <x:v>26</x:v>
      </x:c>
      <x:c r="AJ6" s="2" t="n">
        <x:v>27</x:v>
      </x:c>
      <x:c r="AK6" s="2" t="n">
        <x:v>28</x:v>
      </x:c>
      <x:c r="AL6" s="2" t="n">
        <x:v>29</x:v>
      </x:c>
      <x:c r="AM6" s="2" t="n">
        <x:v>30</x:v>
      </x:c>
      <x:c r="AN6" s="2" t="n">
        <x:v>31</x:v>
      </x:c>
      <x:c r="AO6" s="2" t="n">
        <x:v>32</x:v>
      </x:c>
      <x:c r="AP6" s="2" t="n">
        <x:v>33</x:v>
      </x:c>
      <x:c r="AQ6" s="2" t="n">
        <x:v>34</x:v>
      </x:c>
      <x:c r="AR6" s="2" t="n">
        <x:v>35</x:v>
      </x:c>
      <x:c r="AS6" s="2" t="n">
        <x:v>36</x:v>
      </x:c>
    </x:row>
    <x:row r="7" ht="23"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ht="23" customHeight="1">
      <x:c r="A8" s="2"/>
      <x:c r="B8" s="2"/>
      <x:c r="C8" s="2" t="str">
        <x:v>판매 가능 일정 가정</x:v>
      </x:c>
      <x:c r="D8" s="2" t="str">
        <x:v>0 또는 1</x:v>
      </x:c>
      <x:c r="E8" s="2"/>
      <x:c r="F8" s="2"/>
      <x:c r="G8" s="2"/>
      <x:c r="H8" s="2"/>
      <x:c r="I8" s="2"/>
      <x:c r="J8" s="31" t="n">
        <x:f>IF(J$6&gt;='01_가정'!F46,1,0)</x:f>
        <x:v>0</x:v>
      </x:c>
      <x:c r="K8" s="31" t="n">
        <x:f>IF(K$6&gt;='01_가정'!F46,1,0)</x:f>
        <x:v>0</x:v>
      </x:c>
      <x:c r="L8" s="31" t="n">
        <x:f>IF(L$6&gt;='01_가정'!F46,1,0)</x:f>
        <x:v>0</x:v>
      </x:c>
      <x:c r="M8" s="31" t="n">
        <x:f>IF(M$6&gt;='01_가정'!F46,1,0)</x:f>
        <x:v>0</x:v>
      </x:c>
      <x:c r="N8" s="31" t="n">
        <x:f>IF(N$6&gt;='01_가정'!F46,1,0)</x:f>
        <x:v>0</x:v>
      </x:c>
      <x:c r="O8" s="31" t="n">
        <x:f>IF(O$6&gt;='01_가정'!F46,1,0)</x:f>
        <x:v>0</x:v>
      </x:c>
      <x:c r="P8" s="31" t="n">
        <x:f>IF(P$6&gt;='01_가정'!F46,1,0)</x:f>
        <x:v>1</x:v>
      </x:c>
      <x:c r="Q8" s="31" t="n">
        <x:f>IF(Q$6&gt;='01_가정'!F46,1,0)</x:f>
        <x:v>1</x:v>
      </x:c>
      <x:c r="R8" s="31" t="n">
        <x:f>IF(R$6&gt;='01_가정'!F46,1,0)</x:f>
        <x:v>1</x:v>
      </x:c>
      <x:c r="S8" s="31" t="n">
        <x:f>IF(S$6&gt;='01_가정'!F46,1,0)</x:f>
        <x:v>1</x:v>
      </x:c>
      <x:c r="T8" s="31" t="n">
        <x:f>IF(T$6&gt;='01_가정'!F46,1,0)</x:f>
        <x:v>1</x:v>
      </x:c>
      <x:c r="U8" s="31" t="n">
        <x:f>IF(U$6&gt;='01_가정'!F46,1,0)</x:f>
        <x:v>1</x:v>
      </x:c>
      <x:c r="V8" s="31" t="n">
        <x:f>IF(V$6&gt;='01_가정'!F46,1,0)</x:f>
        <x:v>1</x:v>
      </x:c>
      <x:c r="W8" s="31" t="n">
        <x:f>IF(W$6&gt;='01_가정'!F46,1,0)</x:f>
        <x:v>1</x:v>
      </x:c>
      <x:c r="X8" s="31" t="n">
        <x:f>IF(X$6&gt;='01_가정'!F46,1,0)</x:f>
        <x:v>1</x:v>
      </x:c>
      <x:c r="Y8" s="31" t="n">
        <x:f>IF(Y$6&gt;='01_가정'!F46,1,0)</x:f>
        <x:v>1</x:v>
      </x:c>
      <x:c r="Z8" s="31" t="n">
        <x:f>IF(Z$6&gt;='01_가정'!F46,1,0)</x:f>
        <x:v>1</x:v>
      </x:c>
      <x:c r="AA8" s="31" t="n">
        <x:f>IF(AA$6&gt;='01_가정'!F46,1,0)</x:f>
        <x:v>1</x:v>
      </x:c>
      <x:c r="AB8" s="31" t="n">
        <x:f>IF(AB$6&gt;='01_가정'!F46,1,0)</x:f>
        <x:v>1</x:v>
      </x:c>
      <x:c r="AC8" s="31" t="n">
        <x:f>IF(AC$6&gt;='01_가정'!F46,1,0)</x:f>
        <x:v>1</x:v>
      </x:c>
      <x:c r="AD8" s="31" t="n">
        <x:f>IF(AD$6&gt;='01_가정'!F46,1,0)</x:f>
        <x:v>1</x:v>
      </x:c>
      <x:c r="AE8" s="31" t="n">
        <x:f>IF(AE$6&gt;='01_가정'!F46,1,0)</x:f>
        <x:v>1</x:v>
      </x:c>
      <x:c r="AF8" s="31" t="n">
        <x:f>IF(AF$6&gt;='01_가정'!F46,1,0)</x:f>
        <x:v>1</x:v>
      </x:c>
      <x:c r="AG8" s="31" t="n">
        <x:f>IF(AG$6&gt;='01_가정'!F46,1,0)</x:f>
        <x:v>1</x:v>
      </x:c>
      <x:c r="AH8" s="31" t="n">
        <x:f>IF(AH$6&gt;='01_가정'!F46,1,0)</x:f>
        <x:v>1</x:v>
      </x:c>
      <x:c r="AI8" s="31" t="n">
        <x:f>IF(AI$6&gt;='01_가정'!F46,1,0)</x:f>
        <x:v>1</x:v>
      </x:c>
      <x:c r="AJ8" s="31" t="n">
        <x:f>IF(AJ$6&gt;='01_가정'!F46,1,0)</x:f>
        <x:v>1</x:v>
      </x:c>
      <x:c r="AK8" s="31" t="n">
        <x:f>IF(AK$6&gt;='01_가정'!F46,1,0)</x:f>
        <x:v>1</x:v>
      </x:c>
      <x:c r="AL8" s="31" t="n">
        <x:f>IF(AL$6&gt;='01_가정'!F46,1,0)</x:f>
        <x:v>1</x:v>
      </x:c>
      <x:c r="AM8" s="31" t="n">
        <x:f>IF(AM$6&gt;='01_가정'!F46,1,0)</x:f>
        <x:v>1</x:v>
      </x:c>
      <x:c r="AN8" s="31" t="n">
        <x:f>IF(AN$6&gt;='01_가정'!F46,1,0)</x:f>
        <x:v>1</x:v>
      </x:c>
      <x:c r="AO8" s="31" t="n">
        <x:f>IF(AO$6&gt;='01_가정'!F46,1,0)</x:f>
        <x:v>1</x:v>
      </x:c>
      <x:c r="AP8" s="31" t="n">
        <x:f>IF(AP$6&gt;='01_가정'!F46,1,0)</x:f>
        <x:v>1</x:v>
      </x:c>
      <x:c r="AQ8" s="31" t="n">
        <x:f>IF(AQ$6&gt;='01_가정'!F46,1,0)</x:f>
        <x:v>1</x:v>
      </x:c>
      <x:c r="AR8" s="31" t="n">
        <x:f>IF(AR$6&gt;='01_가정'!F46,1,0)</x:f>
        <x:v>1</x:v>
      </x:c>
      <x:c r="AS8" s="31" t="n">
        <x:f>IF(AS$6&gt;='01_가정'!F46,1,0)</x:f>
        <x:v>1</x:v>
      </x:c>
    </x:row>
    <x:row r="9" ht="23" customHeight="1">
      <x:c r="A9" s="2"/>
      <x:c r="B9" s="2"/>
      <x:c r="C9" s="2" t="str">
        <x:v>출시 초기 집행 비중</x:v>
      </x:c>
      <x:c r="D9" s="2" t="str">
        <x:v>%</x:v>
      </x:c>
      <x:c r="E9" s="2"/>
      <x:c r="F9" s="2"/>
      <x:c r="G9" s="2"/>
      <x:c r="H9" s="2"/>
      <x:c r="I9" s="2"/>
      <x:c r="J9" s="32" t="n">
        <x:f>IF(J8=0,0,IF(J$6='01_가정'!F46,0.5,IF(J$6='01_가정'!F46+1,0.75,1)))</x:f>
        <x:v>0</x:v>
      </x:c>
      <x:c r="K9" s="32" t="n">
        <x:f>IF(K8=0,0,IF(K$6='01_가정'!F46,0.5,IF(K$6='01_가정'!F46+1,0.75,1)))</x:f>
        <x:v>0</x:v>
      </x:c>
      <x:c r="L9" s="32" t="n">
        <x:f>IF(L8=0,0,IF(L$6='01_가정'!F46,0.5,IF(L$6='01_가정'!F46+1,0.75,1)))</x:f>
        <x:v>0</x:v>
      </x:c>
      <x:c r="M9" s="32" t="n">
        <x:f>IF(M8=0,0,IF(M$6='01_가정'!F46,0.5,IF(M$6='01_가정'!F46+1,0.75,1)))</x:f>
        <x:v>0</x:v>
      </x:c>
      <x:c r="N9" s="32" t="n">
        <x:f>IF(N8=0,0,IF(N$6='01_가정'!F46,0.5,IF(N$6='01_가정'!F46+1,0.75,1)))</x:f>
        <x:v>0</x:v>
      </x:c>
      <x:c r="O9" s="32" t="n">
        <x:f>IF(O8=0,0,IF(O$6='01_가정'!F46,0.5,IF(O$6='01_가정'!F46+1,0.75,1)))</x:f>
        <x:v>0</x:v>
      </x:c>
      <x:c r="P9" s="32" t="n">
        <x:f>IF(P8=0,0,IF(P$6='01_가정'!F46,0.5,IF(P$6='01_가정'!F46+1,0.75,1)))</x:f>
        <x:v>0.5</x:v>
      </x:c>
      <x:c r="Q9" s="32" t="n">
        <x:f>IF(Q8=0,0,IF(Q$6='01_가정'!F46,0.5,IF(Q$6='01_가정'!F46+1,0.75,1)))</x:f>
        <x:v>0.75</x:v>
      </x:c>
      <x:c r="R9" s="32" t="n">
        <x:f>IF(R8=0,0,IF(R$6='01_가정'!F46,0.5,IF(R$6='01_가정'!F46+1,0.75,1)))</x:f>
        <x:v>1</x:v>
      </x:c>
      <x:c r="S9" s="32" t="n">
        <x:f>IF(S8=0,0,IF(S$6='01_가정'!F46,0.5,IF(S$6='01_가정'!F46+1,0.75,1)))</x:f>
        <x:v>1</x:v>
      </x:c>
      <x:c r="T9" s="32" t="n">
        <x:f>IF(T8=0,0,IF(T$6='01_가정'!F46,0.5,IF(T$6='01_가정'!F46+1,0.75,1)))</x:f>
        <x:v>1</x:v>
      </x:c>
      <x:c r="U9" s="32" t="n">
        <x:f>IF(U8=0,0,IF(U$6='01_가정'!F46,0.5,IF(U$6='01_가정'!F46+1,0.75,1)))</x:f>
        <x:v>1</x:v>
      </x:c>
      <x:c r="V9" s="32" t="n">
        <x:f>IF(V8=0,0,IF(V$6='01_가정'!F46,0.5,IF(V$6='01_가정'!F46+1,0.75,1)))</x:f>
        <x:v>1</x:v>
      </x:c>
      <x:c r="W9" s="32" t="n">
        <x:f>IF(W8=0,0,IF(W$6='01_가정'!F46,0.5,IF(W$6='01_가정'!F46+1,0.75,1)))</x:f>
        <x:v>1</x:v>
      </x:c>
      <x:c r="X9" s="32" t="n">
        <x:f>IF(X8=0,0,IF(X$6='01_가정'!F46,0.5,IF(X$6='01_가정'!F46+1,0.75,1)))</x:f>
        <x:v>1</x:v>
      </x:c>
      <x:c r="Y9" s="32" t="n">
        <x:f>IF(Y8=0,0,IF(Y$6='01_가정'!F46,0.5,IF(Y$6='01_가정'!F46+1,0.75,1)))</x:f>
        <x:v>1</x:v>
      </x:c>
      <x:c r="Z9" s="32" t="n">
        <x:f>IF(Z8=0,0,IF(Z$6='01_가정'!F46,0.5,IF(Z$6='01_가정'!F46+1,0.75,1)))</x:f>
        <x:v>1</x:v>
      </x:c>
      <x:c r="AA9" s="32" t="n">
        <x:f>IF(AA8=0,0,IF(AA$6='01_가정'!F46,0.5,IF(AA$6='01_가정'!F46+1,0.75,1)))</x:f>
        <x:v>1</x:v>
      </x:c>
      <x:c r="AB9" s="32" t="n">
        <x:f>IF(AB8=0,0,IF(AB$6='01_가정'!F46,0.5,IF(AB$6='01_가정'!F46+1,0.75,1)))</x:f>
        <x:v>1</x:v>
      </x:c>
      <x:c r="AC9" s="32" t="n">
        <x:f>IF(AC8=0,0,IF(AC$6='01_가정'!F46,0.5,IF(AC$6='01_가정'!F46+1,0.75,1)))</x:f>
        <x:v>1</x:v>
      </x:c>
      <x:c r="AD9" s="32" t="n">
        <x:f>IF(AD8=0,0,IF(AD$6='01_가정'!F46,0.5,IF(AD$6='01_가정'!F46+1,0.75,1)))</x:f>
        <x:v>1</x:v>
      </x:c>
      <x:c r="AE9" s="32" t="n">
        <x:f>IF(AE8=0,0,IF(AE$6='01_가정'!F46,0.5,IF(AE$6='01_가정'!F46+1,0.75,1)))</x:f>
        <x:v>1</x:v>
      </x:c>
      <x:c r="AF9" s="32" t="n">
        <x:f>IF(AF8=0,0,IF(AF$6='01_가정'!F46,0.5,IF(AF$6='01_가정'!F46+1,0.75,1)))</x:f>
        <x:v>1</x:v>
      </x:c>
      <x:c r="AG9" s="32" t="n">
        <x:f>IF(AG8=0,0,IF(AG$6='01_가정'!F46,0.5,IF(AG$6='01_가정'!F46+1,0.75,1)))</x:f>
        <x:v>1</x:v>
      </x:c>
      <x:c r="AH9" s="32" t="n">
        <x:f>IF(AH8=0,0,IF(AH$6='01_가정'!F46,0.5,IF(AH$6='01_가정'!F46+1,0.75,1)))</x:f>
        <x:v>1</x:v>
      </x:c>
      <x:c r="AI9" s="32" t="n">
        <x:f>IF(AI8=0,0,IF(AI$6='01_가정'!F46,0.5,IF(AI$6='01_가정'!F46+1,0.75,1)))</x:f>
        <x:v>1</x:v>
      </x:c>
      <x:c r="AJ9" s="32" t="n">
        <x:f>IF(AJ8=0,0,IF(AJ$6='01_가정'!F46,0.5,IF(AJ$6='01_가정'!F46+1,0.75,1)))</x:f>
        <x:v>1</x:v>
      </x:c>
      <x:c r="AK9" s="32" t="n">
        <x:f>IF(AK8=0,0,IF(AK$6='01_가정'!F46,0.5,IF(AK$6='01_가정'!F46+1,0.75,1)))</x:f>
        <x:v>1</x:v>
      </x:c>
      <x:c r="AL9" s="32" t="n">
        <x:f>IF(AL8=0,0,IF(AL$6='01_가정'!F46,0.5,IF(AL$6='01_가정'!F46+1,0.75,1)))</x:f>
        <x:v>1</x:v>
      </x:c>
      <x:c r="AM9" s="32" t="n">
        <x:f>IF(AM8=0,0,IF(AM$6='01_가정'!F46,0.5,IF(AM$6='01_가정'!F46+1,0.75,1)))</x:f>
        <x:v>1</x:v>
      </x:c>
      <x:c r="AN9" s="32" t="n">
        <x:f>IF(AN8=0,0,IF(AN$6='01_가정'!F46,0.5,IF(AN$6='01_가정'!F46+1,0.75,1)))</x:f>
        <x:v>1</x:v>
      </x:c>
      <x:c r="AO9" s="32" t="n">
        <x:f>IF(AO8=0,0,IF(AO$6='01_가정'!F46,0.5,IF(AO$6='01_가정'!F46+1,0.75,1)))</x:f>
        <x:v>1</x:v>
      </x:c>
      <x:c r="AP9" s="32" t="n">
        <x:f>IF(AP8=0,0,IF(AP$6='01_가정'!F46,0.5,IF(AP$6='01_가정'!F46+1,0.75,1)))</x:f>
        <x:v>1</x:v>
      </x:c>
      <x:c r="AQ9" s="32" t="n">
        <x:f>IF(AQ8=0,0,IF(AQ$6='01_가정'!F46,0.5,IF(AQ$6='01_가정'!F46+1,0.75,1)))</x:f>
        <x:v>1</x:v>
      </x:c>
      <x:c r="AR9" s="32" t="n">
        <x:f>IF(AR8=0,0,IF(AR$6='01_가정'!F46,0.5,IF(AR$6='01_가정'!F46+1,0.75,1)))</x:f>
        <x:v>1</x:v>
      </x:c>
      <x:c r="AS9" s="32" t="n">
        <x:f>IF(AS8=0,0,IF(AS$6='01_가정'!F46,0.5,IF(AS$6='01_가정'!F46+1,0.75,1)))</x:f>
        <x:v>1</x:v>
      </x:c>
    </x:row>
    <x:row r="10" ht="23" customHeight="1">
      <x:c r="A10" s="2"/>
      <x:c r="B10" s="2"/>
      <x:c r="C10" s="2" t="str">
        <x:v>광고비 계획</x:v>
      </x:c>
      <x:c r="D10" s="2" t="str">
        <x:v>원</x:v>
      </x:c>
      <x:c r="E10" s="2"/>
      <x:c r="F10" s="33" t="n">
        <x:f>SUM(J10:U10)</x:f>
        <x:v>10500000</x:v>
      </x:c>
      <x:c r="G10" s="33" t="n">
        <x:f>SUM(V10:AG10)</x:f>
        <x:v>72000000</x:v>
      </x:c>
      <x:c r="H10" s="33" t="n">
        <x:f>SUM(AH10:AS10)</x:f>
        <x:v>144000000</x:v>
      </x:c>
      <x:c r="I10" s="2"/>
      <x:c r="J10" s="31" t="n">
        <x:f>'01_가정'!F42*J9</x:f>
        <x:v>0</x:v>
      </x:c>
      <x:c r="K10" s="31" t="n">
        <x:f>'01_가정'!F42*K9</x:f>
        <x:v>0</x:v>
      </x:c>
      <x:c r="L10" s="31" t="n">
        <x:f>'01_가정'!F42*L9</x:f>
        <x:v>0</x:v>
      </x:c>
      <x:c r="M10" s="31" t="n">
        <x:f>'01_가정'!F42*M9</x:f>
        <x:v>0</x:v>
      </x:c>
      <x:c r="N10" s="31" t="n">
        <x:f>'01_가정'!F42*N9</x:f>
        <x:v>0</x:v>
      </x:c>
      <x:c r="O10" s="31" t="n">
        <x:f>'01_가정'!F42*O9</x:f>
        <x:v>0</x:v>
      </x:c>
      <x:c r="P10" s="31" t="n">
        <x:f>'01_가정'!F42*P9</x:f>
        <x:v>1000000</x:v>
      </x:c>
      <x:c r="Q10" s="31" t="n">
        <x:f>'01_가정'!F42*Q9</x:f>
        <x:v>1500000</x:v>
      </x:c>
      <x:c r="R10" s="31" t="n">
        <x:f>'01_가정'!F42*R9</x:f>
        <x:v>2000000</x:v>
      </x:c>
      <x:c r="S10" s="31" t="n">
        <x:f>'01_가정'!F42*S9</x:f>
        <x:v>2000000</x:v>
      </x:c>
      <x:c r="T10" s="31" t="n">
        <x:f>'01_가정'!F42*T9</x:f>
        <x:v>2000000</x:v>
      </x:c>
      <x:c r="U10" s="31" t="n">
        <x:f>'01_가정'!F42*U9</x:f>
        <x:v>2000000</x:v>
      </x:c>
      <x:c r="V10" s="31" t="n">
        <x:f>'01_가정'!G42*V9</x:f>
        <x:v>6000000</x:v>
      </x:c>
      <x:c r="W10" s="31" t="n">
        <x:f>'01_가정'!G42*W9</x:f>
        <x:v>6000000</x:v>
      </x:c>
      <x:c r="X10" s="31" t="n">
        <x:f>'01_가정'!G42*X9</x:f>
        <x:v>6000000</x:v>
      </x:c>
      <x:c r="Y10" s="31" t="n">
        <x:f>'01_가정'!G42*Y9</x:f>
        <x:v>6000000</x:v>
      </x:c>
      <x:c r="Z10" s="31" t="n">
        <x:f>'01_가정'!G42*Z9</x:f>
        <x:v>6000000</x:v>
      </x:c>
      <x:c r="AA10" s="31" t="n">
        <x:f>'01_가정'!G42*AA9</x:f>
        <x:v>6000000</x:v>
      </x:c>
      <x:c r="AB10" s="31" t="n">
        <x:f>'01_가정'!G42*AB9</x:f>
        <x:v>6000000</x:v>
      </x:c>
      <x:c r="AC10" s="31" t="n">
        <x:f>'01_가정'!G42*AC9</x:f>
        <x:v>6000000</x:v>
      </x:c>
      <x:c r="AD10" s="31" t="n">
        <x:f>'01_가정'!G42*AD9</x:f>
        <x:v>6000000</x:v>
      </x:c>
      <x:c r="AE10" s="31" t="n">
        <x:f>'01_가정'!G42*AE9</x:f>
        <x:v>6000000</x:v>
      </x:c>
      <x:c r="AF10" s="31" t="n">
        <x:f>'01_가정'!G42*AF9</x:f>
        <x:v>6000000</x:v>
      </x:c>
      <x:c r="AG10" s="31" t="n">
        <x:f>'01_가정'!G42*AG9</x:f>
        <x:v>6000000</x:v>
      </x:c>
      <x:c r="AH10" s="31" t="n">
        <x:f>'01_가정'!H42*AH9</x:f>
        <x:v>12000000</x:v>
      </x:c>
      <x:c r="AI10" s="31" t="n">
        <x:f>'01_가정'!H42*AI9</x:f>
        <x:v>12000000</x:v>
      </x:c>
      <x:c r="AJ10" s="31" t="n">
        <x:f>'01_가정'!H42*AJ9</x:f>
        <x:v>12000000</x:v>
      </x:c>
      <x:c r="AK10" s="31" t="n">
        <x:f>'01_가정'!H42*AK9</x:f>
        <x:v>12000000</x:v>
      </x:c>
      <x:c r="AL10" s="31" t="n">
        <x:f>'01_가정'!H42*AL9</x:f>
        <x:v>12000000</x:v>
      </x:c>
      <x:c r="AM10" s="31" t="n">
        <x:f>'01_가정'!H42*AM9</x:f>
        <x:v>12000000</x:v>
      </x:c>
      <x:c r="AN10" s="31" t="n">
        <x:f>'01_가정'!H42*AN9</x:f>
        <x:v>12000000</x:v>
      </x:c>
      <x:c r="AO10" s="31" t="n">
        <x:f>'01_가정'!H42*AO9</x:f>
        <x:v>12000000</x:v>
      </x:c>
      <x:c r="AP10" s="31" t="n">
        <x:f>'01_가정'!H42*AP9</x:f>
        <x:v>12000000</x:v>
      </x:c>
      <x:c r="AQ10" s="31" t="n">
        <x:f>'01_가정'!H42*AQ9</x:f>
        <x:v>12000000</x:v>
      </x:c>
      <x:c r="AR10" s="31" t="n">
        <x:f>'01_가정'!H42*AR9</x:f>
        <x:v>12000000</x:v>
      </x:c>
      <x:c r="AS10" s="31" t="n">
        <x:f>'01_가정'!H42*AS9</x:f>
        <x:v>12000000</x:v>
      </x:c>
    </x:row>
    <x:row r="11" ht="23" customHeight="1">
      <x:c r="A11" s="2"/>
      <x:c r="B11" s="2"/>
      <x:c r="C11" s="2" t="str">
        <x:v>클릭당 비용</x:v>
      </x:c>
      <x:c r="D11" s="2" t="str">
        <x:v>원</x:v>
      </x:c>
      <x:c r="E11" s="2"/>
      <x:c r="F11" s="2"/>
      <x:c r="G11" s="2"/>
      <x:c r="H11" s="2"/>
      <x:c r="I11" s="2"/>
      <x:c r="J11" s="31" t="n">
        <x:f>'01_가정'!F18</x:f>
        <x:v>900</x:v>
      </x:c>
      <x:c r="K11" s="31" t="n">
        <x:f>'01_가정'!F18</x:f>
        <x:v>900</x:v>
      </x:c>
      <x:c r="L11" s="31" t="n">
        <x:f>'01_가정'!F18</x:f>
        <x:v>900</x:v>
      </x:c>
      <x:c r="M11" s="31" t="n">
        <x:f>'01_가정'!F18</x:f>
        <x:v>900</x:v>
      </x:c>
      <x:c r="N11" s="31" t="n">
        <x:f>'01_가정'!F18</x:f>
        <x:v>900</x:v>
      </x:c>
      <x:c r="O11" s="31" t="n">
        <x:f>'01_가정'!F18</x:f>
        <x:v>900</x:v>
      </x:c>
      <x:c r="P11" s="31" t="n">
        <x:f>'01_가정'!F18</x:f>
        <x:v>900</x:v>
      </x:c>
      <x:c r="Q11" s="31" t="n">
        <x:f>'01_가정'!F18</x:f>
        <x:v>900</x:v>
      </x:c>
      <x:c r="R11" s="31" t="n">
        <x:f>'01_가정'!F18</x:f>
        <x:v>900</x:v>
      </x:c>
      <x:c r="S11" s="31" t="n">
        <x:f>'01_가정'!F18</x:f>
        <x:v>900</x:v>
      </x:c>
      <x:c r="T11" s="31" t="n">
        <x:f>'01_가정'!F18</x:f>
        <x:v>900</x:v>
      </x:c>
      <x:c r="U11" s="31" t="n">
        <x:f>'01_가정'!F18</x:f>
        <x:v>900</x:v>
      </x:c>
      <x:c r="V11" s="31" t="n">
        <x:f>'01_가정'!G18</x:f>
        <x:v>800</x:v>
      </x:c>
      <x:c r="W11" s="31" t="n">
        <x:f>'01_가정'!G18</x:f>
        <x:v>800</x:v>
      </x:c>
      <x:c r="X11" s="31" t="n">
        <x:f>'01_가정'!G18</x:f>
        <x:v>800</x:v>
      </x:c>
      <x:c r="Y11" s="31" t="n">
        <x:f>'01_가정'!G18</x:f>
        <x:v>800</x:v>
      </x:c>
      <x:c r="Z11" s="31" t="n">
        <x:f>'01_가정'!G18</x:f>
        <x:v>800</x:v>
      </x:c>
      <x:c r="AA11" s="31" t="n">
        <x:f>'01_가정'!G18</x:f>
        <x:v>800</x:v>
      </x:c>
      <x:c r="AB11" s="31" t="n">
        <x:f>'01_가정'!G18</x:f>
        <x:v>800</x:v>
      </x:c>
      <x:c r="AC11" s="31" t="n">
        <x:f>'01_가정'!G18</x:f>
        <x:v>800</x:v>
      </x:c>
      <x:c r="AD11" s="31" t="n">
        <x:f>'01_가정'!G18</x:f>
        <x:v>800</x:v>
      </x:c>
      <x:c r="AE11" s="31" t="n">
        <x:f>'01_가정'!G18</x:f>
        <x:v>800</x:v>
      </x:c>
      <x:c r="AF11" s="31" t="n">
        <x:f>'01_가정'!G18</x:f>
        <x:v>800</x:v>
      </x:c>
      <x:c r="AG11" s="31" t="n">
        <x:f>'01_가정'!G18</x:f>
        <x:v>800</x:v>
      </x:c>
      <x:c r="AH11" s="31" t="n">
        <x:f>'01_가정'!H18</x:f>
        <x:v>750</x:v>
      </x:c>
      <x:c r="AI11" s="31" t="n">
        <x:f>'01_가정'!H18</x:f>
        <x:v>750</x:v>
      </x:c>
      <x:c r="AJ11" s="31" t="n">
        <x:f>'01_가정'!H18</x:f>
        <x:v>750</x:v>
      </x:c>
      <x:c r="AK11" s="31" t="n">
        <x:f>'01_가정'!H18</x:f>
        <x:v>750</x:v>
      </x:c>
      <x:c r="AL11" s="31" t="n">
        <x:f>'01_가정'!H18</x:f>
        <x:v>750</x:v>
      </x:c>
      <x:c r="AM11" s="31" t="n">
        <x:f>'01_가정'!H18</x:f>
        <x:v>750</x:v>
      </x:c>
      <x:c r="AN11" s="31" t="n">
        <x:f>'01_가정'!H18</x:f>
        <x:v>750</x:v>
      </x:c>
      <x:c r="AO11" s="31" t="n">
        <x:f>'01_가정'!H18</x:f>
        <x:v>750</x:v>
      </x:c>
      <x:c r="AP11" s="31" t="n">
        <x:f>'01_가정'!H18</x:f>
        <x:v>750</x:v>
      </x:c>
      <x:c r="AQ11" s="31" t="n">
        <x:f>'01_가정'!H18</x:f>
        <x:v>750</x:v>
      </x:c>
      <x:c r="AR11" s="31" t="n">
        <x:f>'01_가정'!H18</x:f>
        <x:v>750</x:v>
      </x:c>
      <x:c r="AS11" s="31" t="n">
        <x:f>'01_가정'!H18</x:f>
        <x:v>750</x:v>
      </x:c>
    </x:row>
    <x:row r="12" ht="23" customHeight="1">
      <x:c r="A12" s="2"/>
      <x:c r="B12" s="2"/>
      <x:c r="C12" s="2" t="str">
        <x:v>유료 클릭</x:v>
      </x:c>
      <x:c r="D12" s="2" t="str">
        <x:v>회</x:v>
      </x:c>
      <x:c r="E12" s="2"/>
      <x:c r="F12" s="33" t="n">
        <x:f>SUM(J12:U12)</x:f>
        <x:v>11666.666666666668</x:v>
      </x:c>
      <x:c r="G12" s="33" t="n">
        <x:f>SUM(V12:AG12)</x:f>
        <x:v>90000</x:v>
      </x:c>
      <x:c r="H12" s="33" t="n">
        <x:f>SUM(AH12:AS12)</x:f>
        <x:v>192000</x:v>
      </x:c>
      <x:c r="I12" s="2"/>
      <x:c r="J12" s="33" t="n">
        <x:f>IF(J11&gt;0,J10/J11,0)</x:f>
        <x:v>0</x:v>
      </x:c>
      <x:c r="K12" s="33" t="n">
        <x:f>IF(K11&gt;0,K10/K11,0)</x:f>
        <x:v>0</x:v>
      </x:c>
      <x:c r="L12" s="33" t="n">
        <x:f>IF(L11&gt;0,L10/L11,0)</x:f>
        <x:v>0</x:v>
      </x:c>
      <x:c r="M12" s="33" t="n">
        <x:f>IF(M11&gt;0,M10/M11,0)</x:f>
        <x:v>0</x:v>
      </x:c>
      <x:c r="N12" s="33" t="n">
        <x:f>IF(N11&gt;0,N10/N11,0)</x:f>
        <x:v>0</x:v>
      </x:c>
      <x:c r="O12" s="33" t="n">
        <x:f>IF(O11&gt;0,O10/O11,0)</x:f>
        <x:v>0</x:v>
      </x:c>
      <x:c r="P12" s="33" t="n">
        <x:f>IF(P11&gt;0,P10/P11,0)</x:f>
        <x:v>1111.111111111111</x:v>
      </x:c>
      <x:c r="Q12" s="33" t="n">
        <x:f>IF(Q11&gt;0,Q10/Q11,0)</x:f>
        <x:v>1666.6666666666667</x:v>
      </x:c>
      <x:c r="R12" s="33" t="n">
        <x:f>IF(R11&gt;0,R10/R11,0)</x:f>
        <x:v>2222.222222222222</x:v>
      </x:c>
      <x:c r="S12" s="33" t="n">
        <x:f>IF(S11&gt;0,S10/S11,0)</x:f>
        <x:v>2222.222222222222</x:v>
      </x:c>
      <x:c r="T12" s="33" t="n">
        <x:f>IF(T11&gt;0,T10/T11,0)</x:f>
        <x:v>2222.222222222222</x:v>
      </x:c>
      <x:c r="U12" s="33" t="n">
        <x:f>IF(U11&gt;0,U10/U11,0)</x:f>
        <x:v>2222.222222222222</x:v>
      </x:c>
      <x:c r="V12" s="33" t="n">
        <x:f>IF(V11&gt;0,V10/V11,0)</x:f>
        <x:v>7500</x:v>
      </x:c>
      <x:c r="W12" s="33" t="n">
        <x:f>IF(W11&gt;0,W10/W11,0)</x:f>
        <x:v>7500</x:v>
      </x:c>
      <x:c r="X12" s="33" t="n">
        <x:f>IF(X11&gt;0,X10/X11,0)</x:f>
        <x:v>7500</x:v>
      </x:c>
      <x:c r="Y12" s="33" t="n">
        <x:f>IF(Y11&gt;0,Y10/Y11,0)</x:f>
        <x:v>7500</x:v>
      </x:c>
      <x:c r="Z12" s="33" t="n">
        <x:f>IF(Z11&gt;0,Z10/Z11,0)</x:f>
        <x:v>7500</x:v>
      </x:c>
      <x:c r="AA12" s="33" t="n">
        <x:f>IF(AA11&gt;0,AA10/AA11,0)</x:f>
        <x:v>7500</x:v>
      </x:c>
      <x:c r="AB12" s="33" t="n">
        <x:f>IF(AB11&gt;0,AB10/AB11,0)</x:f>
        <x:v>7500</x:v>
      </x:c>
      <x:c r="AC12" s="33" t="n">
        <x:f>IF(AC11&gt;0,AC10/AC11,0)</x:f>
        <x:v>7500</x:v>
      </x:c>
      <x:c r="AD12" s="33" t="n">
        <x:f>IF(AD11&gt;0,AD10/AD11,0)</x:f>
        <x:v>7500</x:v>
      </x:c>
      <x:c r="AE12" s="33" t="n">
        <x:f>IF(AE11&gt;0,AE10/AE11,0)</x:f>
        <x:v>7500</x:v>
      </x:c>
      <x:c r="AF12" s="33" t="n">
        <x:f>IF(AF11&gt;0,AF10/AF11,0)</x:f>
        <x:v>7500</x:v>
      </x:c>
      <x:c r="AG12" s="33" t="n">
        <x:f>IF(AG11&gt;0,AG10/AG11,0)</x:f>
        <x:v>7500</x:v>
      </x:c>
      <x:c r="AH12" s="33" t="n">
        <x:f>IF(AH11&gt;0,AH10/AH11,0)</x:f>
        <x:v>16000</x:v>
      </x:c>
      <x:c r="AI12" s="33" t="n">
        <x:f>IF(AI11&gt;0,AI10/AI11,0)</x:f>
        <x:v>16000</x:v>
      </x:c>
      <x:c r="AJ12" s="33" t="n">
        <x:f>IF(AJ11&gt;0,AJ10/AJ11,0)</x:f>
        <x:v>16000</x:v>
      </x:c>
      <x:c r="AK12" s="33" t="n">
        <x:f>IF(AK11&gt;0,AK10/AK11,0)</x:f>
        <x:v>16000</x:v>
      </x:c>
      <x:c r="AL12" s="33" t="n">
        <x:f>IF(AL11&gt;0,AL10/AL11,0)</x:f>
        <x:v>16000</x:v>
      </x:c>
      <x:c r="AM12" s="33" t="n">
        <x:f>IF(AM11&gt;0,AM10/AM11,0)</x:f>
        <x:v>16000</x:v>
      </x:c>
      <x:c r="AN12" s="33" t="n">
        <x:f>IF(AN11&gt;0,AN10/AN11,0)</x:f>
        <x:v>16000</x:v>
      </x:c>
      <x:c r="AO12" s="33" t="n">
        <x:f>IF(AO11&gt;0,AO10/AO11,0)</x:f>
        <x:v>16000</x:v>
      </x:c>
      <x:c r="AP12" s="33" t="n">
        <x:f>IF(AP11&gt;0,AP10/AP11,0)</x:f>
        <x:v>16000</x:v>
      </x:c>
      <x:c r="AQ12" s="33" t="n">
        <x:f>IF(AQ11&gt;0,AQ10/AQ11,0)</x:f>
        <x:v>16000</x:v>
      </x:c>
      <x:c r="AR12" s="33" t="n">
        <x:f>IF(AR11&gt;0,AR10/AR11,0)</x:f>
        <x:v>16000</x:v>
      </x:c>
      <x:c r="AS12" s="33" t="n">
        <x:f>IF(AS11&gt;0,AS10/AS11,0)</x:f>
        <x:v>16000</x:v>
      </x:c>
    </x:row>
    <x:row r="13" ht="23" customHeight="1">
      <x:c r="A13" s="2"/>
      <x:c r="B13" s="2"/>
      <x:c r="C13" s="2" t="str">
        <x:v>자연 유입</x:v>
      </x:c>
      <x:c r="D13" s="2" t="str">
        <x:v>회</x:v>
      </x:c>
      <x:c r="E13" s="2"/>
      <x:c r="F13" s="33" t="n">
        <x:f>SUM(J13:U13)</x:f>
        <x:v>5250</x:v>
      </x:c>
      <x:c r="G13" s="33" t="n">
        <x:f>SUM(V13:AG13)</x:f>
        <x:v>36000</x:v>
      </x:c>
      <x:c r="H13" s="33" t="n">
        <x:f>SUM(AH13:AS13)</x:f>
        <x:v>60000</x:v>
      </x:c>
      <x:c r="I13" s="2"/>
      <x:c r="J13" s="31" t="n">
        <x:f>'01_가정'!F38*J9</x:f>
        <x:v>0</x:v>
      </x:c>
      <x:c r="K13" s="31" t="n">
        <x:f>'01_가정'!F38*K9</x:f>
        <x:v>0</x:v>
      </x:c>
      <x:c r="L13" s="31" t="n">
        <x:f>'01_가정'!F38*L9</x:f>
        <x:v>0</x:v>
      </x:c>
      <x:c r="M13" s="31" t="n">
        <x:f>'01_가정'!F38*M9</x:f>
        <x:v>0</x:v>
      </x:c>
      <x:c r="N13" s="31" t="n">
        <x:f>'01_가정'!F38*N9</x:f>
        <x:v>0</x:v>
      </x:c>
      <x:c r="O13" s="31" t="n">
        <x:f>'01_가정'!F38*O9</x:f>
        <x:v>0</x:v>
      </x:c>
      <x:c r="P13" s="31" t="n">
        <x:f>'01_가정'!F38*P9</x:f>
        <x:v>500</x:v>
      </x:c>
      <x:c r="Q13" s="31" t="n">
        <x:f>'01_가정'!F38*Q9</x:f>
        <x:v>750</x:v>
      </x:c>
      <x:c r="R13" s="31" t="n">
        <x:f>'01_가정'!F38*R9</x:f>
        <x:v>1000</x:v>
      </x:c>
      <x:c r="S13" s="31" t="n">
        <x:f>'01_가정'!F38*S9</x:f>
        <x:v>1000</x:v>
      </x:c>
      <x:c r="T13" s="31" t="n">
        <x:f>'01_가정'!F38*T9</x:f>
        <x:v>1000</x:v>
      </x:c>
      <x:c r="U13" s="31" t="n">
        <x:f>'01_가정'!F38*U9</x:f>
        <x:v>1000</x:v>
      </x:c>
      <x:c r="V13" s="31" t="n">
        <x:f>'01_가정'!G38*V9</x:f>
        <x:v>3000</x:v>
      </x:c>
      <x:c r="W13" s="31" t="n">
        <x:f>'01_가정'!G38*W9</x:f>
        <x:v>3000</x:v>
      </x:c>
      <x:c r="X13" s="31" t="n">
        <x:f>'01_가정'!G38*X9</x:f>
        <x:v>3000</x:v>
      </x:c>
      <x:c r="Y13" s="31" t="n">
        <x:f>'01_가정'!G38*Y9</x:f>
        <x:v>3000</x:v>
      </x:c>
      <x:c r="Z13" s="31" t="n">
        <x:f>'01_가정'!G38*Z9</x:f>
        <x:v>3000</x:v>
      </x:c>
      <x:c r="AA13" s="31" t="n">
        <x:f>'01_가정'!G38*AA9</x:f>
        <x:v>3000</x:v>
      </x:c>
      <x:c r="AB13" s="31" t="n">
        <x:f>'01_가정'!G38*AB9</x:f>
        <x:v>3000</x:v>
      </x:c>
      <x:c r="AC13" s="31" t="n">
        <x:f>'01_가정'!G38*AC9</x:f>
        <x:v>3000</x:v>
      </x:c>
      <x:c r="AD13" s="31" t="n">
        <x:f>'01_가정'!G38*AD9</x:f>
        <x:v>3000</x:v>
      </x:c>
      <x:c r="AE13" s="31" t="n">
        <x:f>'01_가정'!G38*AE9</x:f>
        <x:v>3000</x:v>
      </x:c>
      <x:c r="AF13" s="31" t="n">
        <x:f>'01_가정'!G38*AF9</x:f>
        <x:v>3000</x:v>
      </x:c>
      <x:c r="AG13" s="31" t="n">
        <x:f>'01_가정'!G38*AG9</x:f>
        <x:v>3000</x:v>
      </x:c>
      <x:c r="AH13" s="31" t="n">
        <x:f>'01_가정'!H38*AH9</x:f>
        <x:v>5000</x:v>
      </x:c>
      <x:c r="AI13" s="31" t="n">
        <x:f>'01_가정'!H38*AI9</x:f>
        <x:v>5000</x:v>
      </x:c>
      <x:c r="AJ13" s="31" t="n">
        <x:f>'01_가정'!H38*AJ9</x:f>
        <x:v>5000</x:v>
      </x:c>
      <x:c r="AK13" s="31" t="n">
        <x:f>'01_가정'!H38*AK9</x:f>
        <x:v>5000</x:v>
      </x:c>
      <x:c r="AL13" s="31" t="n">
        <x:f>'01_가정'!H38*AL9</x:f>
        <x:v>5000</x:v>
      </x:c>
      <x:c r="AM13" s="31" t="n">
        <x:f>'01_가정'!H38*AM9</x:f>
        <x:v>5000</x:v>
      </x:c>
      <x:c r="AN13" s="31" t="n">
        <x:f>'01_가정'!H38*AN9</x:f>
        <x:v>5000</x:v>
      </x:c>
      <x:c r="AO13" s="31" t="n">
        <x:f>'01_가정'!H38*AO9</x:f>
        <x:v>5000</x:v>
      </x:c>
      <x:c r="AP13" s="31" t="n">
        <x:f>'01_가정'!H38*AP9</x:f>
        <x:v>5000</x:v>
      </x:c>
      <x:c r="AQ13" s="31" t="n">
        <x:f>'01_가정'!H38*AQ9</x:f>
        <x:v>5000</x:v>
      </x:c>
      <x:c r="AR13" s="31" t="n">
        <x:f>'01_가정'!H38*AR9</x:f>
        <x:v>5000</x:v>
      </x:c>
      <x:c r="AS13" s="31" t="n">
        <x:f>'01_가정'!H38*AS9</x:f>
        <x:v>5000</x:v>
      </x:c>
    </x:row>
    <x:row r="14" ht="23" customHeight="1">
      <x:c r="A14" s="2"/>
      <x:c r="B14" s="2"/>
      <x:c r="C14" s="2" t="str">
        <x:v>출고 전환율</x:v>
      </x:c>
      <x:c r="D14" s="2" t="str">
        <x:v>%</x:v>
      </x:c>
      <x:c r="E14" s="2"/>
      <x:c r="F14" s="2"/>
      <x:c r="G14" s="2"/>
      <x:c r="H14" s="2"/>
      <x:c r="I14" s="2"/>
      <x:c r="J14" s="32" t="n">
        <x:f>'01_가정'!F22</x:f>
        <x:v>0.025</x:v>
      </x:c>
      <x:c r="K14" s="32" t="n">
        <x:f>'01_가정'!F22</x:f>
        <x:v>0.025</x:v>
      </x:c>
      <x:c r="L14" s="32" t="n">
        <x:f>'01_가정'!F22</x:f>
        <x:v>0.025</x:v>
      </x:c>
      <x:c r="M14" s="32" t="n">
        <x:f>'01_가정'!F22</x:f>
        <x:v>0.025</x:v>
      </x:c>
      <x:c r="N14" s="32" t="n">
        <x:f>'01_가정'!F22</x:f>
        <x:v>0.025</x:v>
      </x:c>
      <x:c r="O14" s="32" t="n">
        <x:f>'01_가정'!F22</x:f>
        <x:v>0.025</x:v>
      </x:c>
      <x:c r="P14" s="32" t="n">
        <x:f>'01_가정'!F22</x:f>
        <x:v>0.025</x:v>
      </x:c>
      <x:c r="Q14" s="32" t="n">
        <x:f>'01_가정'!F22</x:f>
        <x:v>0.025</x:v>
      </x:c>
      <x:c r="R14" s="32" t="n">
        <x:f>'01_가정'!F22</x:f>
        <x:v>0.025</x:v>
      </x:c>
      <x:c r="S14" s="32" t="n">
        <x:f>'01_가정'!F22</x:f>
        <x:v>0.025</x:v>
      </x:c>
      <x:c r="T14" s="32" t="n">
        <x:f>'01_가정'!F22</x:f>
        <x:v>0.025</x:v>
      </x:c>
      <x:c r="U14" s="32" t="n">
        <x:f>'01_가정'!F22</x:f>
        <x:v>0.025</x:v>
      </x:c>
      <x:c r="V14" s="32" t="n">
        <x:f>'01_가정'!G22</x:f>
        <x:v>0.03</x:v>
      </x:c>
      <x:c r="W14" s="32" t="n">
        <x:f>'01_가정'!G22</x:f>
        <x:v>0.03</x:v>
      </x:c>
      <x:c r="X14" s="32" t="n">
        <x:f>'01_가정'!G22</x:f>
        <x:v>0.03</x:v>
      </x:c>
      <x:c r="Y14" s="32" t="n">
        <x:f>'01_가정'!G22</x:f>
        <x:v>0.03</x:v>
      </x:c>
      <x:c r="Z14" s="32" t="n">
        <x:f>'01_가정'!G22</x:f>
        <x:v>0.03</x:v>
      </x:c>
      <x:c r="AA14" s="32" t="n">
        <x:f>'01_가정'!G22</x:f>
        <x:v>0.03</x:v>
      </x:c>
      <x:c r="AB14" s="32" t="n">
        <x:f>'01_가정'!G22</x:f>
        <x:v>0.03</x:v>
      </x:c>
      <x:c r="AC14" s="32" t="n">
        <x:f>'01_가정'!G22</x:f>
        <x:v>0.03</x:v>
      </x:c>
      <x:c r="AD14" s="32" t="n">
        <x:f>'01_가정'!G22</x:f>
        <x:v>0.03</x:v>
      </x:c>
      <x:c r="AE14" s="32" t="n">
        <x:f>'01_가정'!G22</x:f>
        <x:v>0.03</x:v>
      </x:c>
      <x:c r="AF14" s="32" t="n">
        <x:f>'01_가정'!G22</x:f>
        <x:v>0.03</x:v>
      </x:c>
      <x:c r="AG14" s="32" t="n">
        <x:f>'01_가정'!G22</x:f>
        <x:v>0.03</x:v>
      </x:c>
      <x:c r="AH14" s="32" t="n">
        <x:f>'01_가정'!H22</x:f>
        <x:v>0.035</x:v>
      </x:c>
      <x:c r="AI14" s="32" t="n">
        <x:f>'01_가정'!H22</x:f>
        <x:v>0.035</x:v>
      </x:c>
      <x:c r="AJ14" s="32" t="n">
        <x:f>'01_가정'!H22</x:f>
        <x:v>0.035</x:v>
      </x:c>
      <x:c r="AK14" s="32" t="n">
        <x:f>'01_가정'!H22</x:f>
        <x:v>0.035</x:v>
      </x:c>
      <x:c r="AL14" s="32" t="n">
        <x:f>'01_가정'!H22</x:f>
        <x:v>0.035</x:v>
      </x:c>
      <x:c r="AM14" s="32" t="n">
        <x:f>'01_가정'!H22</x:f>
        <x:v>0.035</x:v>
      </x:c>
      <x:c r="AN14" s="32" t="n">
        <x:f>'01_가정'!H22</x:f>
        <x:v>0.035</x:v>
      </x:c>
      <x:c r="AO14" s="32" t="n">
        <x:f>'01_가정'!H22</x:f>
        <x:v>0.035</x:v>
      </x:c>
      <x:c r="AP14" s="32" t="n">
        <x:f>'01_가정'!H22</x:f>
        <x:v>0.035</x:v>
      </x:c>
      <x:c r="AQ14" s="32" t="n">
        <x:f>'01_가정'!H22</x:f>
        <x:v>0.035</x:v>
      </x:c>
      <x:c r="AR14" s="32" t="n">
        <x:f>'01_가정'!H22</x:f>
        <x:v>0.035</x:v>
      </x:c>
      <x:c r="AS14" s="32" t="n">
        <x:f>'01_가정'!H22</x:f>
        <x:v>0.035</x:v>
      </x:c>
    </x:row>
    <x:row r="15" ht="23" customHeight="1">
      <x:c r="A15" s="2"/>
      <x:c r="B15" s="2"/>
      <x:c r="C15" s="2" t="str">
        <x:v>유료 신규 출고</x:v>
      </x:c>
      <x:c r="D15" s="2" t="str">
        <x:v>개</x:v>
      </x:c>
      <x:c r="E15" s="2"/>
      <x:c r="F15" s="33" t="n">
        <x:f>SUM(J15:U15)</x:f>
        <x:v>288</x:v>
      </x:c>
      <x:c r="G15" s="33" t="n">
        <x:f>SUM(V15:AG15)</x:f>
        <x:v>2700</x:v>
      </x:c>
      <x:c r="H15" s="33" t="n">
        <x:f>SUM(AH15:AS15)</x:f>
        <x:v>6720</x:v>
      </x:c>
      <x:c r="I15" s="2"/>
      <x:c r="J15" s="33" t="n">
        <x:f>ROUNDDOWN(J12*J14,0)</x:f>
        <x:v>0</x:v>
      </x:c>
      <x:c r="K15" s="33" t="n">
        <x:f>ROUNDDOWN(K12*K14,0)</x:f>
        <x:v>0</x:v>
      </x:c>
      <x:c r="L15" s="33" t="n">
        <x:f>ROUNDDOWN(L12*L14,0)</x:f>
        <x:v>0</x:v>
      </x:c>
      <x:c r="M15" s="33" t="n">
        <x:f>ROUNDDOWN(M12*M14,0)</x:f>
        <x:v>0</x:v>
      </x:c>
      <x:c r="N15" s="33" t="n">
        <x:f>ROUNDDOWN(N12*N14,0)</x:f>
        <x:v>0</x:v>
      </x:c>
      <x:c r="O15" s="33" t="n">
        <x:f>ROUNDDOWN(O12*O14,0)</x:f>
        <x:v>0</x:v>
      </x:c>
      <x:c r="P15" s="33" t="n">
        <x:f>ROUNDDOWN(P12*P14,0)</x:f>
        <x:v>27</x:v>
      </x:c>
      <x:c r="Q15" s="33" t="n">
        <x:f>ROUNDDOWN(Q12*Q14,0)</x:f>
        <x:v>41</x:v>
      </x:c>
      <x:c r="R15" s="33" t="n">
        <x:f>ROUNDDOWN(R12*R14,0)</x:f>
        <x:v>55</x:v>
      </x:c>
      <x:c r="S15" s="33" t="n">
        <x:f>ROUNDDOWN(S12*S14,0)</x:f>
        <x:v>55</x:v>
      </x:c>
      <x:c r="T15" s="33" t="n">
        <x:f>ROUNDDOWN(T12*T14,0)</x:f>
        <x:v>55</x:v>
      </x:c>
      <x:c r="U15" s="33" t="n">
        <x:f>ROUNDDOWN(U12*U14,0)</x:f>
        <x:v>55</x:v>
      </x:c>
      <x:c r="V15" s="33" t="n">
        <x:f>ROUNDDOWN(V12*V14,0)</x:f>
        <x:v>225</x:v>
      </x:c>
      <x:c r="W15" s="33" t="n">
        <x:f>ROUNDDOWN(W12*W14,0)</x:f>
        <x:v>225</x:v>
      </x:c>
      <x:c r="X15" s="33" t="n">
        <x:f>ROUNDDOWN(X12*X14,0)</x:f>
        <x:v>225</x:v>
      </x:c>
      <x:c r="Y15" s="33" t="n">
        <x:f>ROUNDDOWN(Y12*Y14,0)</x:f>
        <x:v>225</x:v>
      </x:c>
      <x:c r="Z15" s="33" t="n">
        <x:f>ROUNDDOWN(Z12*Z14,0)</x:f>
        <x:v>225</x:v>
      </x:c>
      <x:c r="AA15" s="33" t="n">
        <x:f>ROUNDDOWN(AA12*AA14,0)</x:f>
        <x:v>225</x:v>
      </x:c>
      <x:c r="AB15" s="33" t="n">
        <x:f>ROUNDDOWN(AB12*AB14,0)</x:f>
        <x:v>225</x:v>
      </x:c>
      <x:c r="AC15" s="33" t="n">
        <x:f>ROUNDDOWN(AC12*AC14,0)</x:f>
        <x:v>225</x:v>
      </x:c>
      <x:c r="AD15" s="33" t="n">
        <x:f>ROUNDDOWN(AD12*AD14,0)</x:f>
        <x:v>225</x:v>
      </x:c>
      <x:c r="AE15" s="33" t="n">
        <x:f>ROUNDDOWN(AE12*AE14,0)</x:f>
        <x:v>225</x:v>
      </x:c>
      <x:c r="AF15" s="33" t="n">
        <x:f>ROUNDDOWN(AF12*AF14,0)</x:f>
        <x:v>225</x:v>
      </x:c>
      <x:c r="AG15" s="33" t="n">
        <x:f>ROUNDDOWN(AG12*AG14,0)</x:f>
        <x:v>225</x:v>
      </x:c>
      <x:c r="AH15" s="33" t="n">
        <x:f>ROUNDDOWN(AH12*AH14,0)</x:f>
        <x:v>560</x:v>
      </x:c>
      <x:c r="AI15" s="33" t="n">
        <x:f>ROUNDDOWN(AI12*AI14,0)</x:f>
        <x:v>560</x:v>
      </x:c>
      <x:c r="AJ15" s="33" t="n">
        <x:f>ROUNDDOWN(AJ12*AJ14,0)</x:f>
        <x:v>560</x:v>
      </x:c>
      <x:c r="AK15" s="33" t="n">
        <x:f>ROUNDDOWN(AK12*AK14,0)</x:f>
        <x:v>560</x:v>
      </x:c>
      <x:c r="AL15" s="33" t="n">
        <x:f>ROUNDDOWN(AL12*AL14,0)</x:f>
        <x:v>560</x:v>
      </x:c>
      <x:c r="AM15" s="33" t="n">
        <x:f>ROUNDDOWN(AM12*AM14,0)</x:f>
        <x:v>560</x:v>
      </x:c>
      <x:c r="AN15" s="33" t="n">
        <x:f>ROUNDDOWN(AN12*AN14,0)</x:f>
        <x:v>560</x:v>
      </x:c>
      <x:c r="AO15" s="33" t="n">
        <x:f>ROUNDDOWN(AO12*AO14,0)</x:f>
        <x:v>560</x:v>
      </x:c>
      <x:c r="AP15" s="33" t="n">
        <x:f>ROUNDDOWN(AP12*AP14,0)</x:f>
        <x:v>560</x:v>
      </x:c>
      <x:c r="AQ15" s="33" t="n">
        <x:f>ROUNDDOWN(AQ12*AQ14,0)</x:f>
        <x:v>560</x:v>
      </x:c>
      <x:c r="AR15" s="33" t="n">
        <x:f>ROUNDDOWN(AR12*AR14,0)</x:f>
        <x:v>560</x:v>
      </x:c>
      <x:c r="AS15" s="33" t="n">
        <x:f>ROUNDDOWN(AS12*AS14,0)</x:f>
        <x:v>560</x:v>
      </x:c>
    </x:row>
    <x:row r="16" ht="23" customHeight="1">
      <x:c r="A16" s="2"/>
      <x:c r="B16" s="2"/>
      <x:c r="C16" s="2" t="str">
        <x:v>자연 유입 신규 출고</x:v>
      </x:c>
      <x:c r="D16" s="2" t="str">
        <x:v>개</x:v>
      </x:c>
      <x:c r="E16" s="2"/>
      <x:c r="F16" s="33" t="n">
        <x:f>SUM(J16:U16)</x:f>
        <x:v>130</x:v>
      </x:c>
      <x:c r="G16" s="33" t="n">
        <x:f>SUM(V16:AG16)</x:f>
        <x:v>1080</x:v>
      </x:c>
      <x:c r="H16" s="33" t="n">
        <x:f>SUM(AH16:AS16)</x:f>
        <x:v>2100</x:v>
      </x:c>
      <x:c r="I16" s="2"/>
      <x:c r="J16" s="33" t="n">
        <x:f>ROUNDDOWN(J13*J14,0)</x:f>
        <x:v>0</x:v>
      </x:c>
      <x:c r="K16" s="33" t="n">
        <x:f>ROUNDDOWN(K13*K14,0)</x:f>
        <x:v>0</x:v>
      </x:c>
      <x:c r="L16" s="33" t="n">
        <x:f>ROUNDDOWN(L13*L14,0)</x:f>
        <x:v>0</x:v>
      </x:c>
      <x:c r="M16" s="33" t="n">
        <x:f>ROUNDDOWN(M13*M14,0)</x:f>
        <x:v>0</x:v>
      </x:c>
      <x:c r="N16" s="33" t="n">
        <x:f>ROUNDDOWN(N13*N14,0)</x:f>
        <x:v>0</x:v>
      </x:c>
      <x:c r="O16" s="33" t="n">
        <x:f>ROUNDDOWN(O13*O14,0)</x:f>
        <x:v>0</x:v>
      </x:c>
      <x:c r="P16" s="33" t="n">
        <x:f>ROUNDDOWN(P13*P14,0)</x:f>
        <x:v>12</x:v>
      </x:c>
      <x:c r="Q16" s="33" t="n">
        <x:f>ROUNDDOWN(Q13*Q14,0)</x:f>
        <x:v>18</x:v>
      </x:c>
      <x:c r="R16" s="33" t="n">
        <x:f>ROUNDDOWN(R13*R14,0)</x:f>
        <x:v>25</x:v>
      </x:c>
      <x:c r="S16" s="33" t="n">
        <x:f>ROUNDDOWN(S13*S14,0)</x:f>
        <x:v>25</x:v>
      </x:c>
      <x:c r="T16" s="33" t="n">
        <x:f>ROUNDDOWN(T13*T14,0)</x:f>
        <x:v>25</x:v>
      </x:c>
      <x:c r="U16" s="33" t="n">
        <x:f>ROUNDDOWN(U13*U14,0)</x:f>
        <x:v>25</x:v>
      </x:c>
      <x:c r="V16" s="33" t="n">
        <x:f>ROUNDDOWN(V13*V14,0)</x:f>
        <x:v>90</x:v>
      </x:c>
      <x:c r="W16" s="33" t="n">
        <x:f>ROUNDDOWN(W13*W14,0)</x:f>
        <x:v>90</x:v>
      </x:c>
      <x:c r="X16" s="33" t="n">
        <x:f>ROUNDDOWN(X13*X14,0)</x:f>
        <x:v>90</x:v>
      </x:c>
      <x:c r="Y16" s="33" t="n">
        <x:f>ROUNDDOWN(Y13*Y14,0)</x:f>
        <x:v>90</x:v>
      </x:c>
      <x:c r="Z16" s="33" t="n">
        <x:f>ROUNDDOWN(Z13*Z14,0)</x:f>
        <x:v>90</x:v>
      </x:c>
      <x:c r="AA16" s="33" t="n">
        <x:f>ROUNDDOWN(AA13*AA14,0)</x:f>
        <x:v>90</x:v>
      </x:c>
      <x:c r="AB16" s="33" t="n">
        <x:f>ROUNDDOWN(AB13*AB14,0)</x:f>
        <x:v>90</x:v>
      </x:c>
      <x:c r="AC16" s="33" t="n">
        <x:f>ROUNDDOWN(AC13*AC14,0)</x:f>
        <x:v>90</x:v>
      </x:c>
      <x:c r="AD16" s="33" t="n">
        <x:f>ROUNDDOWN(AD13*AD14,0)</x:f>
        <x:v>90</x:v>
      </x:c>
      <x:c r="AE16" s="33" t="n">
        <x:f>ROUNDDOWN(AE13*AE14,0)</x:f>
        <x:v>90</x:v>
      </x:c>
      <x:c r="AF16" s="33" t="n">
        <x:f>ROUNDDOWN(AF13*AF14,0)</x:f>
        <x:v>90</x:v>
      </x:c>
      <x:c r="AG16" s="33" t="n">
        <x:f>ROUNDDOWN(AG13*AG14,0)</x:f>
        <x:v>90</x:v>
      </x:c>
      <x:c r="AH16" s="33" t="n">
        <x:f>ROUNDDOWN(AH13*AH14,0)</x:f>
        <x:v>175</x:v>
      </x:c>
      <x:c r="AI16" s="33" t="n">
        <x:f>ROUNDDOWN(AI13*AI14,0)</x:f>
        <x:v>175</x:v>
      </x:c>
      <x:c r="AJ16" s="33" t="n">
        <x:f>ROUNDDOWN(AJ13*AJ14,0)</x:f>
        <x:v>175</x:v>
      </x:c>
      <x:c r="AK16" s="33" t="n">
        <x:f>ROUNDDOWN(AK13*AK14,0)</x:f>
        <x:v>175</x:v>
      </x:c>
      <x:c r="AL16" s="33" t="n">
        <x:f>ROUNDDOWN(AL13*AL14,0)</x:f>
        <x:v>175</x:v>
      </x:c>
      <x:c r="AM16" s="33" t="n">
        <x:f>ROUNDDOWN(AM13*AM14,0)</x:f>
        <x:v>175</x:v>
      </x:c>
      <x:c r="AN16" s="33" t="n">
        <x:f>ROUNDDOWN(AN13*AN14,0)</x:f>
        <x:v>175</x:v>
      </x:c>
      <x:c r="AO16" s="33" t="n">
        <x:f>ROUNDDOWN(AO13*AO14,0)</x:f>
        <x:v>175</x:v>
      </x:c>
      <x:c r="AP16" s="33" t="n">
        <x:f>ROUNDDOWN(AP13*AP14,0)</x:f>
        <x:v>175</x:v>
      </x:c>
      <x:c r="AQ16" s="33" t="n">
        <x:f>ROUNDDOWN(AQ13*AQ14,0)</x:f>
        <x:v>175</x:v>
      </x:c>
      <x:c r="AR16" s="33" t="n">
        <x:f>ROUNDDOWN(AR13*AR14,0)</x:f>
        <x:v>175</x:v>
      </x:c>
      <x:c r="AS16" s="33" t="n">
        <x:f>ROUNDDOWN(AS13*AS14,0)</x:f>
        <x:v>175</x:v>
      </x:c>
    </x:row>
    <x:row r="17" ht="23" customHeight="1">
      <x:c r="A17" s="2"/>
      <x:c r="B17" s="2"/>
      <x:c r="C17" s="2" t="str">
        <x:v>DTC 총 출고</x:v>
      </x:c>
      <x:c r="D17" s="2" t="str">
        <x:v>개</x:v>
      </x:c>
      <x:c r="E17" s="2"/>
      <x:c r="F17" s="33" t="n">
        <x:f>SUM(J17:U17)</x:f>
        <x:v>418</x:v>
      </x:c>
      <x:c r="G17" s="33" t="n">
        <x:f>SUM(V17:AG17)</x:f>
        <x:v>3780</x:v>
      </x:c>
      <x:c r="H17" s="33" t="n">
        <x:f>SUM(AH17:AS17)</x:f>
        <x:v>8820</x:v>
      </x:c>
      <x:c r="I17" s="2"/>
      <x:c r="J17" s="33" t="n">
        <x:f>SUM(J15:J16)</x:f>
        <x:v>0</x:v>
      </x:c>
      <x:c r="K17" s="33" t="n">
        <x:f>SUM(K15:K16)</x:f>
        <x:v>0</x:v>
      </x:c>
      <x:c r="L17" s="33" t="n">
        <x:f>SUM(L15:L16)</x:f>
        <x:v>0</x:v>
      </x:c>
      <x:c r="M17" s="33" t="n">
        <x:f>SUM(M15:M16)</x:f>
        <x:v>0</x:v>
      </x:c>
      <x:c r="N17" s="33" t="n">
        <x:f>SUM(N15:N16)</x:f>
        <x:v>0</x:v>
      </x:c>
      <x:c r="O17" s="33" t="n">
        <x:f>SUM(O15:O16)</x:f>
        <x:v>0</x:v>
      </x:c>
      <x:c r="P17" s="33" t="n">
        <x:f>SUM(P15:P16)</x:f>
        <x:v>39</x:v>
      </x:c>
      <x:c r="Q17" s="33" t="n">
        <x:f>SUM(Q15:Q16)</x:f>
        <x:v>59</x:v>
      </x:c>
      <x:c r="R17" s="33" t="n">
        <x:f>SUM(R15:R16)</x:f>
        <x:v>80</x:v>
      </x:c>
      <x:c r="S17" s="33" t="n">
        <x:f>SUM(S15:S16)</x:f>
        <x:v>80</x:v>
      </x:c>
      <x:c r="T17" s="33" t="n">
        <x:f>SUM(T15:T16)</x:f>
        <x:v>80</x:v>
      </x:c>
      <x:c r="U17" s="33" t="n">
        <x:f>SUM(U15:U16)</x:f>
        <x:v>80</x:v>
      </x:c>
      <x:c r="V17" s="33" t="n">
        <x:f>SUM(V15:V16)</x:f>
        <x:v>315</x:v>
      </x:c>
      <x:c r="W17" s="33" t="n">
        <x:f>SUM(W15:W16)</x:f>
        <x:v>315</x:v>
      </x:c>
      <x:c r="X17" s="33" t="n">
        <x:f>SUM(X15:X16)</x:f>
        <x:v>315</x:v>
      </x:c>
      <x:c r="Y17" s="33" t="n">
        <x:f>SUM(Y15:Y16)</x:f>
        <x:v>315</x:v>
      </x:c>
      <x:c r="Z17" s="33" t="n">
        <x:f>SUM(Z15:Z16)</x:f>
        <x:v>315</x:v>
      </x:c>
      <x:c r="AA17" s="33" t="n">
        <x:f>SUM(AA15:AA16)</x:f>
        <x:v>315</x:v>
      </x:c>
      <x:c r="AB17" s="33" t="n">
        <x:f>SUM(AB15:AB16)</x:f>
        <x:v>315</x:v>
      </x:c>
      <x:c r="AC17" s="33" t="n">
        <x:f>SUM(AC15:AC16)</x:f>
        <x:v>315</x:v>
      </x:c>
      <x:c r="AD17" s="33" t="n">
        <x:f>SUM(AD15:AD16)</x:f>
        <x:v>315</x:v>
      </x:c>
      <x:c r="AE17" s="33" t="n">
        <x:f>SUM(AE15:AE16)</x:f>
        <x:v>315</x:v>
      </x:c>
      <x:c r="AF17" s="33" t="n">
        <x:f>SUM(AF15:AF16)</x:f>
        <x:v>315</x:v>
      </x:c>
      <x:c r="AG17" s="33" t="n">
        <x:f>SUM(AG15:AG16)</x:f>
        <x:v>315</x:v>
      </x:c>
      <x:c r="AH17" s="33" t="n">
        <x:f>SUM(AH15:AH16)</x:f>
        <x:v>735</x:v>
      </x:c>
      <x:c r="AI17" s="33" t="n">
        <x:f>SUM(AI15:AI16)</x:f>
        <x:v>735</x:v>
      </x:c>
      <x:c r="AJ17" s="33" t="n">
        <x:f>SUM(AJ15:AJ16)</x:f>
        <x:v>735</x:v>
      </x:c>
      <x:c r="AK17" s="33" t="n">
        <x:f>SUM(AK15:AK16)</x:f>
        <x:v>735</x:v>
      </x:c>
      <x:c r="AL17" s="33" t="n">
        <x:f>SUM(AL15:AL16)</x:f>
        <x:v>735</x:v>
      </x:c>
      <x:c r="AM17" s="33" t="n">
        <x:f>SUM(AM15:AM16)</x:f>
        <x:v>735</x:v>
      </x:c>
      <x:c r="AN17" s="33" t="n">
        <x:f>SUM(AN15:AN16)</x:f>
        <x:v>735</x:v>
      </x:c>
      <x:c r="AO17" s="33" t="n">
        <x:f>SUM(AO15:AO16)</x:f>
        <x:v>735</x:v>
      </x:c>
      <x:c r="AP17" s="33" t="n">
        <x:f>SUM(AP15:AP16)</x:f>
        <x:v>735</x:v>
      </x:c>
      <x:c r="AQ17" s="33" t="n">
        <x:f>SUM(AQ15:AQ16)</x:f>
        <x:v>735</x:v>
      </x:c>
      <x:c r="AR17" s="33" t="n">
        <x:f>SUM(AR15:AR16)</x:f>
        <x:v>735</x:v>
      </x:c>
      <x:c r="AS17" s="33" t="n">
        <x:f>SUM(AS15:AS16)</x:f>
        <x:v>735</x:v>
      </x:c>
    </x:row>
    <x:row r="18" ht="23" customHeight="1">
      <x:c r="A18" s="2"/>
      <x:c r="B18" s="2"/>
      <x:c r="C18" s="2" t="str">
        <x:v>리테일 총 출고</x:v>
      </x:c>
      <x:c r="D18" s="2" t="str">
        <x:v>개</x:v>
      </x:c>
      <x:c r="E18" s="2"/>
      <x:c r="F18" s="33" t="n">
        <x:f>SUM(J18:U18)</x:f>
        <x:v>0</x:v>
      </x:c>
      <x:c r="G18" s="33" t="n">
        <x:f>SUM(V18:AG18)</x:f>
        <x:v>0</x:v>
      </x:c>
      <x:c r="H18" s="33" t="n">
        <x:f>SUM(AH18:AS18)</x:f>
        <x:v>0</x:v>
      </x:c>
      <x:c r="I18" s="2"/>
      <x:c r="J18" s="31" t="n">
        <x:f>ROUNDDOWN('01_가정'!F50*J9*'01_가정'!$F$95,0)</x:f>
        <x:v>0</x:v>
      </x:c>
      <x:c r="K18" s="31" t="n">
        <x:f>ROUNDDOWN('01_가정'!F50*K9*'01_가정'!$F$95,0)</x:f>
        <x:v>0</x:v>
      </x:c>
      <x:c r="L18" s="31" t="n">
        <x:f>ROUNDDOWN('01_가정'!F50*L9*'01_가정'!$F$95,0)</x:f>
        <x:v>0</x:v>
      </x:c>
      <x:c r="M18" s="31" t="n">
        <x:f>ROUNDDOWN('01_가정'!F50*M9*'01_가정'!$F$95,0)</x:f>
        <x:v>0</x:v>
      </x:c>
      <x:c r="N18" s="31" t="n">
        <x:f>ROUNDDOWN('01_가정'!F50*N9*'01_가정'!$F$95,0)</x:f>
        <x:v>0</x:v>
      </x:c>
      <x:c r="O18" s="31" t="n">
        <x:f>ROUNDDOWN('01_가정'!F50*O9*'01_가정'!$F$95,0)</x:f>
        <x:v>0</x:v>
      </x:c>
      <x:c r="P18" s="31" t="n">
        <x:f>ROUNDDOWN('01_가정'!F50*P9*'01_가정'!$F$95,0)</x:f>
        <x:v>0</x:v>
      </x:c>
      <x:c r="Q18" s="31" t="n">
        <x:f>ROUNDDOWN('01_가정'!F50*Q9*'01_가정'!$F$95,0)</x:f>
        <x:v>0</x:v>
      </x:c>
      <x:c r="R18" s="31" t="n">
        <x:f>ROUNDDOWN('01_가정'!F50*R9*'01_가정'!$F$95,0)</x:f>
        <x:v>0</x:v>
      </x:c>
      <x:c r="S18" s="31" t="n">
        <x:f>ROUNDDOWN('01_가정'!F50*S9*'01_가정'!$F$95,0)</x:f>
        <x:v>0</x:v>
      </x:c>
      <x:c r="T18" s="31" t="n">
        <x:f>ROUNDDOWN('01_가정'!F50*T9*'01_가정'!$F$95,0)</x:f>
        <x:v>0</x:v>
      </x:c>
      <x:c r="U18" s="31" t="n">
        <x:f>ROUNDDOWN('01_가정'!F50*U9*'01_가정'!$F$95,0)</x:f>
        <x:v>0</x:v>
      </x:c>
      <x:c r="V18" s="31" t="n">
        <x:f>ROUNDDOWN('01_가정'!G50*V9*'01_가정'!$F$95,0)</x:f>
        <x:v>0</x:v>
      </x:c>
      <x:c r="W18" s="31" t="n">
        <x:f>ROUNDDOWN('01_가정'!G50*W9*'01_가정'!$F$95,0)</x:f>
        <x:v>0</x:v>
      </x:c>
      <x:c r="X18" s="31" t="n">
        <x:f>ROUNDDOWN('01_가정'!G50*X9*'01_가정'!$F$95,0)</x:f>
        <x:v>0</x:v>
      </x:c>
      <x:c r="Y18" s="31" t="n">
        <x:f>ROUNDDOWN('01_가정'!G50*Y9*'01_가정'!$F$95,0)</x:f>
        <x:v>0</x:v>
      </x:c>
      <x:c r="Z18" s="31" t="n">
        <x:f>ROUNDDOWN('01_가정'!G50*Z9*'01_가정'!$F$95,0)</x:f>
        <x:v>0</x:v>
      </x:c>
      <x:c r="AA18" s="31" t="n">
        <x:f>ROUNDDOWN('01_가정'!G50*AA9*'01_가정'!$F$95,0)</x:f>
        <x:v>0</x:v>
      </x:c>
      <x:c r="AB18" s="31" t="n">
        <x:f>ROUNDDOWN('01_가정'!G50*AB9*'01_가정'!$F$95,0)</x:f>
        <x:v>0</x:v>
      </x:c>
      <x:c r="AC18" s="31" t="n">
        <x:f>ROUNDDOWN('01_가정'!G50*AC9*'01_가정'!$F$95,0)</x:f>
        <x:v>0</x:v>
      </x:c>
      <x:c r="AD18" s="31" t="n">
        <x:f>ROUNDDOWN('01_가정'!G50*AD9*'01_가정'!$F$95,0)</x:f>
        <x:v>0</x:v>
      </x:c>
      <x:c r="AE18" s="31" t="n">
        <x:f>ROUNDDOWN('01_가정'!G50*AE9*'01_가정'!$F$95,0)</x:f>
        <x:v>0</x:v>
      </x:c>
      <x:c r="AF18" s="31" t="n">
        <x:f>ROUNDDOWN('01_가정'!G50*AF9*'01_가정'!$F$95,0)</x:f>
        <x:v>0</x:v>
      </x:c>
      <x:c r="AG18" s="31" t="n">
        <x:f>ROUNDDOWN('01_가정'!G50*AG9*'01_가정'!$F$95,0)</x:f>
        <x:v>0</x:v>
      </x:c>
      <x:c r="AH18" s="31" t="n">
        <x:f>ROUNDDOWN('01_가정'!H50*AH9*'01_가정'!$F$95,0)</x:f>
        <x:v>0</x:v>
      </x:c>
      <x:c r="AI18" s="31" t="n">
        <x:f>ROUNDDOWN('01_가정'!H50*AI9*'01_가정'!$F$95,0)</x:f>
        <x:v>0</x:v>
      </x:c>
      <x:c r="AJ18" s="31" t="n">
        <x:f>ROUNDDOWN('01_가정'!H50*AJ9*'01_가정'!$F$95,0)</x:f>
        <x:v>0</x:v>
      </x:c>
      <x:c r="AK18" s="31" t="n">
        <x:f>ROUNDDOWN('01_가정'!H50*AK9*'01_가정'!$F$95,0)</x:f>
        <x:v>0</x:v>
      </x:c>
      <x:c r="AL18" s="31" t="n">
        <x:f>ROUNDDOWN('01_가정'!H50*AL9*'01_가정'!$F$95,0)</x:f>
        <x:v>0</x:v>
      </x:c>
      <x:c r="AM18" s="31" t="n">
        <x:f>ROUNDDOWN('01_가정'!H50*AM9*'01_가정'!$F$95,0)</x:f>
        <x:v>0</x:v>
      </x:c>
      <x:c r="AN18" s="31" t="n">
        <x:f>ROUNDDOWN('01_가정'!H50*AN9*'01_가정'!$F$95,0)</x:f>
        <x:v>0</x:v>
      </x:c>
      <x:c r="AO18" s="31" t="n">
        <x:f>ROUNDDOWN('01_가정'!H50*AO9*'01_가정'!$F$95,0)</x:f>
        <x:v>0</x:v>
      </x:c>
      <x:c r="AP18" s="31" t="n">
        <x:f>ROUNDDOWN('01_가정'!H50*AP9*'01_가정'!$F$95,0)</x:f>
        <x:v>0</x:v>
      </x:c>
      <x:c r="AQ18" s="31" t="n">
        <x:f>ROUNDDOWN('01_가정'!H50*AQ9*'01_가정'!$F$95,0)</x:f>
        <x:v>0</x:v>
      </x:c>
      <x:c r="AR18" s="31" t="n">
        <x:f>ROUNDDOWN('01_가정'!H50*AR9*'01_가정'!$F$95,0)</x:f>
        <x:v>0</x:v>
      </x:c>
      <x:c r="AS18" s="31" t="n">
        <x:f>ROUNDDOWN('01_가정'!H50*AS9*'01_가정'!$F$95,0)</x:f>
        <x:v>0</x:v>
      </x:c>
    </x:row>
    <x:row r="19" ht="23" customHeight="1">
      <x:c r="A19" s="2"/>
      <x:c r="B19" s="2"/>
      <x:c r="C19" s="19" t="str">
        <x:v>본체 총 출고</x:v>
      </x:c>
      <x:c r="D19" s="19" t="str">
        <x:v>개</x:v>
      </x:c>
      <x:c r="E19" s="19"/>
      <x:c r="F19" s="21" t="n">
        <x:f>SUM(J19:U19)</x:f>
        <x:v>418</x:v>
      </x:c>
      <x:c r="G19" s="21" t="n">
        <x:f>SUM(V19:AG19)</x:f>
        <x:v>3780</x:v>
      </x:c>
      <x:c r="H19" s="21" t="n">
        <x:f>SUM(AH19:AS19)</x:f>
        <x:v>8820</x:v>
      </x:c>
      <x:c r="I19" s="19"/>
      <x:c r="J19" s="21" t="n">
        <x:f>SUM(J17:J18)</x:f>
        <x:v>0</x:v>
      </x:c>
      <x:c r="K19" s="21" t="n">
        <x:f>SUM(K17:K18)</x:f>
        <x:v>0</x:v>
      </x:c>
      <x:c r="L19" s="21" t="n">
        <x:f>SUM(L17:L18)</x:f>
        <x:v>0</x:v>
      </x:c>
      <x:c r="M19" s="21" t="n">
        <x:f>SUM(M17:M18)</x:f>
        <x:v>0</x:v>
      </x:c>
      <x:c r="N19" s="21" t="n">
        <x:f>SUM(N17:N18)</x:f>
        <x:v>0</x:v>
      </x:c>
      <x:c r="O19" s="21" t="n">
        <x:f>SUM(O17:O18)</x:f>
        <x:v>0</x:v>
      </x:c>
      <x:c r="P19" s="21" t="n">
        <x:f>SUM(P17:P18)</x:f>
        <x:v>39</x:v>
      </x:c>
      <x:c r="Q19" s="21" t="n">
        <x:f>SUM(Q17:Q18)</x:f>
        <x:v>59</x:v>
      </x:c>
      <x:c r="R19" s="21" t="n">
        <x:f>SUM(R17:R18)</x:f>
        <x:v>80</x:v>
      </x:c>
      <x:c r="S19" s="21" t="n">
        <x:f>SUM(S17:S18)</x:f>
        <x:v>80</x:v>
      </x:c>
      <x:c r="T19" s="21" t="n">
        <x:f>SUM(T17:T18)</x:f>
        <x:v>80</x:v>
      </x:c>
      <x:c r="U19" s="21" t="n">
        <x:f>SUM(U17:U18)</x:f>
        <x:v>80</x:v>
      </x:c>
      <x:c r="V19" s="21" t="n">
        <x:f>SUM(V17:V18)</x:f>
        <x:v>315</x:v>
      </x:c>
      <x:c r="W19" s="21" t="n">
        <x:f>SUM(W17:W18)</x:f>
        <x:v>315</x:v>
      </x:c>
      <x:c r="X19" s="21" t="n">
        <x:f>SUM(X17:X18)</x:f>
        <x:v>315</x:v>
      </x:c>
      <x:c r="Y19" s="21" t="n">
        <x:f>SUM(Y17:Y18)</x:f>
        <x:v>315</x:v>
      </x:c>
      <x:c r="Z19" s="21" t="n">
        <x:f>SUM(Z17:Z18)</x:f>
        <x:v>315</x:v>
      </x:c>
      <x:c r="AA19" s="21" t="n">
        <x:f>SUM(AA17:AA18)</x:f>
        <x:v>315</x:v>
      </x:c>
      <x:c r="AB19" s="21" t="n">
        <x:f>SUM(AB17:AB18)</x:f>
        <x:v>315</x:v>
      </x:c>
      <x:c r="AC19" s="21" t="n">
        <x:f>SUM(AC17:AC18)</x:f>
        <x:v>315</x:v>
      </x:c>
      <x:c r="AD19" s="21" t="n">
        <x:f>SUM(AD17:AD18)</x:f>
        <x:v>315</x:v>
      </x:c>
      <x:c r="AE19" s="21" t="n">
        <x:f>SUM(AE17:AE18)</x:f>
        <x:v>315</x:v>
      </x:c>
      <x:c r="AF19" s="21" t="n">
        <x:f>SUM(AF17:AF18)</x:f>
        <x:v>315</x:v>
      </x:c>
      <x:c r="AG19" s="21" t="n">
        <x:f>SUM(AG17:AG18)</x:f>
        <x:v>315</x:v>
      </x:c>
      <x:c r="AH19" s="21" t="n">
        <x:f>SUM(AH17:AH18)</x:f>
        <x:v>735</x:v>
      </x:c>
      <x:c r="AI19" s="21" t="n">
        <x:f>SUM(AI17:AI18)</x:f>
        <x:v>735</x:v>
      </x:c>
      <x:c r="AJ19" s="21" t="n">
        <x:f>SUM(AJ17:AJ18)</x:f>
        <x:v>735</x:v>
      </x:c>
      <x:c r="AK19" s="21" t="n">
        <x:f>SUM(AK17:AK18)</x:f>
        <x:v>735</x:v>
      </x:c>
      <x:c r="AL19" s="21" t="n">
        <x:f>SUM(AL17:AL18)</x:f>
        <x:v>735</x:v>
      </x:c>
      <x:c r="AM19" s="21" t="n">
        <x:f>SUM(AM17:AM18)</x:f>
        <x:v>735</x:v>
      </x:c>
      <x:c r="AN19" s="21" t="n">
        <x:f>SUM(AN17:AN18)</x:f>
        <x:v>735</x:v>
      </x:c>
      <x:c r="AO19" s="21" t="n">
        <x:f>SUM(AO17:AO18)</x:f>
        <x:v>735</x:v>
      </x:c>
      <x:c r="AP19" s="21" t="n">
        <x:f>SUM(AP17:AP18)</x:f>
        <x:v>735</x:v>
      </x:c>
      <x:c r="AQ19" s="21" t="n">
        <x:f>SUM(AQ17:AQ18)</x:f>
        <x:v>735</x:v>
      </x:c>
      <x:c r="AR19" s="21" t="n">
        <x:f>SUM(AR17:AR18)</x:f>
        <x:v>735</x:v>
      </x:c>
      <x:c r="AS19" s="21" t="n">
        <x:f>SUM(AS17:AS18)</x:f>
        <x:v>735</x:v>
      </x:c>
    </x:row>
    <x:row r="20" ht="23" customHeight="1">
      <x:c r="A20" s="2"/>
      <x:c r="B20" s="2"/>
      <x:c r="C20" s="2" t="str">
        <x:v>DTC 환불 기대 건수</x:v>
      </x:c>
      <x:c r="D20" s="2" t="str">
        <x:v>개</x:v>
      </x:c>
      <x:c r="E20" s="2"/>
      <x:c r="F20" s="33" t="n">
        <x:f>SUM(J20:U20)</x:f>
        <x:v>33.44</x:v>
      </x:c>
      <x:c r="G20" s="33" t="n">
        <x:f>SUM(V20:AG20)</x:f>
        <x:v>264.6000000000001</x:v>
      </x:c>
      <x:c r="H20" s="33" t="n">
        <x:f>SUM(AH20:AS20)</x:f>
        <x:v>529.2000000000002</x:v>
      </x:c>
      <x:c r="I20" s="2"/>
      <x:c r="J20" s="31" t="n">
        <x:f>J17*'01_가정'!F26</x:f>
        <x:v>0</x:v>
      </x:c>
      <x:c r="K20" s="31" t="n">
        <x:f>K17*'01_가정'!F26</x:f>
        <x:v>0</x:v>
      </x:c>
      <x:c r="L20" s="31" t="n">
        <x:f>L17*'01_가정'!F26</x:f>
        <x:v>0</x:v>
      </x:c>
      <x:c r="M20" s="31" t="n">
        <x:f>M17*'01_가정'!F26</x:f>
        <x:v>0</x:v>
      </x:c>
      <x:c r="N20" s="31" t="n">
        <x:f>N17*'01_가정'!F26</x:f>
        <x:v>0</x:v>
      </x:c>
      <x:c r="O20" s="31" t="n">
        <x:f>O17*'01_가정'!F26</x:f>
        <x:v>0</x:v>
      </x:c>
      <x:c r="P20" s="31" t="n">
        <x:f>P17*'01_가정'!F26</x:f>
        <x:v>3.12</x:v>
      </x:c>
      <x:c r="Q20" s="31" t="n">
        <x:f>Q17*'01_가정'!F26</x:f>
        <x:v>4.72</x:v>
      </x:c>
      <x:c r="R20" s="31" t="n">
        <x:f>R17*'01_가정'!F26</x:f>
        <x:v>6.4</x:v>
      </x:c>
      <x:c r="S20" s="31" t="n">
        <x:f>S17*'01_가정'!F26</x:f>
        <x:v>6.4</x:v>
      </x:c>
      <x:c r="T20" s="31" t="n">
        <x:f>T17*'01_가정'!F26</x:f>
        <x:v>6.4</x:v>
      </x:c>
      <x:c r="U20" s="31" t="n">
        <x:f>U17*'01_가정'!F26</x:f>
        <x:v>6.4</x:v>
      </x:c>
      <x:c r="V20" s="31" t="n">
        <x:f>V17*'01_가정'!G26</x:f>
        <x:v>22.05</x:v>
      </x:c>
      <x:c r="W20" s="31" t="n">
        <x:f>W17*'01_가정'!G26</x:f>
        <x:v>22.05</x:v>
      </x:c>
      <x:c r="X20" s="31" t="n">
        <x:f>X17*'01_가정'!G26</x:f>
        <x:v>22.05</x:v>
      </x:c>
      <x:c r="Y20" s="31" t="n">
        <x:f>Y17*'01_가정'!G26</x:f>
        <x:v>22.05</x:v>
      </x:c>
      <x:c r="Z20" s="31" t="n">
        <x:f>Z17*'01_가정'!G26</x:f>
        <x:v>22.05</x:v>
      </x:c>
      <x:c r="AA20" s="31" t="n">
        <x:f>AA17*'01_가정'!G26</x:f>
        <x:v>22.05</x:v>
      </x:c>
      <x:c r="AB20" s="31" t="n">
        <x:f>AB17*'01_가정'!G26</x:f>
        <x:v>22.05</x:v>
      </x:c>
      <x:c r="AC20" s="31" t="n">
        <x:f>AC17*'01_가정'!G26</x:f>
        <x:v>22.05</x:v>
      </x:c>
      <x:c r="AD20" s="31" t="n">
        <x:f>AD17*'01_가정'!G26</x:f>
        <x:v>22.05</x:v>
      </x:c>
      <x:c r="AE20" s="31" t="n">
        <x:f>AE17*'01_가정'!G26</x:f>
        <x:v>22.05</x:v>
      </x:c>
      <x:c r="AF20" s="31" t="n">
        <x:f>AF17*'01_가정'!G26</x:f>
        <x:v>22.05</x:v>
      </x:c>
      <x:c r="AG20" s="31" t="n">
        <x:f>AG17*'01_가정'!G26</x:f>
        <x:v>22.05</x:v>
      </x:c>
      <x:c r="AH20" s="31" t="n">
        <x:f>AH17*'01_가정'!H26</x:f>
        <x:v>44.1</x:v>
      </x:c>
      <x:c r="AI20" s="31" t="n">
        <x:f>AI17*'01_가정'!H26</x:f>
        <x:v>44.1</x:v>
      </x:c>
      <x:c r="AJ20" s="31" t="n">
        <x:f>AJ17*'01_가정'!H26</x:f>
        <x:v>44.1</x:v>
      </x:c>
      <x:c r="AK20" s="31" t="n">
        <x:f>AK17*'01_가정'!H26</x:f>
        <x:v>44.1</x:v>
      </x:c>
      <x:c r="AL20" s="31" t="n">
        <x:f>AL17*'01_가정'!H26</x:f>
        <x:v>44.1</x:v>
      </x:c>
      <x:c r="AM20" s="31" t="n">
        <x:f>AM17*'01_가정'!H26</x:f>
        <x:v>44.1</x:v>
      </x:c>
      <x:c r="AN20" s="31" t="n">
        <x:f>AN17*'01_가정'!H26</x:f>
        <x:v>44.1</x:v>
      </x:c>
      <x:c r="AO20" s="31" t="n">
        <x:f>AO17*'01_가정'!H26</x:f>
        <x:v>44.1</x:v>
      </x:c>
      <x:c r="AP20" s="31" t="n">
        <x:f>AP17*'01_가정'!H26</x:f>
        <x:v>44.1</x:v>
      </x:c>
      <x:c r="AQ20" s="31" t="n">
        <x:f>AQ17*'01_가정'!H26</x:f>
        <x:v>44.1</x:v>
      </x:c>
      <x:c r="AR20" s="31" t="n">
        <x:f>AR17*'01_가정'!H26</x:f>
        <x:v>44.1</x:v>
      </x:c>
      <x:c r="AS20" s="31" t="n">
        <x:f>AS17*'01_가정'!H26</x:f>
        <x:v>44.1</x:v>
      </x:c>
    </x:row>
    <x:row r="21" ht="23" customHeight="1">
      <x:c r="A21" s="2"/>
      <x:c r="B21" s="2"/>
      <x:c r="C21" s="2" t="str">
        <x:v>DTC 비환불 고객</x:v>
      </x:c>
      <x:c r="D21" s="2" t="str">
        <x:v>명</x:v>
      </x:c>
      <x:c r="E21" s="2"/>
      <x:c r="F21" s="33" t="n">
        <x:f>SUM(J21:U21)</x:f>
        <x:v>384.55999999999995</x:v>
      </x:c>
      <x:c r="G21" s="33" t="n">
        <x:f>SUM(V21:AG21)</x:f>
        <x:v>3515.399999999999</x:v>
      </x:c>
      <x:c r="H21" s="33" t="n">
        <x:f>SUM(AH21:AS21)</x:f>
        <x:v>8290.799999999997</x:v>
      </x:c>
      <x:c r="I21" s="2"/>
      <x:c r="J21" s="33" t="n">
        <x:f>J17-J20</x:f>
        <x:v>0</x:v>
      </x:c>
      <x:c r="K21" s="33" t="n">
        <x:f>K17-K20</x:f>
        <x:v>0</x:v>
      </x:c>
      <x:c r="L21" s="33" t="n">
        <x:f>L17-L20</x:f>
        <x:v>0</x:v>
      </x:c>
      <x:c r="M21" s="33" t="n">
        <x:f>M17-M20</x:f>
        <x:v>0</x:v>
      </x:c>
      <x:c r="N21" s="33" t="n">
        <x:f>N17-N20</x:f>
        <x:v>0</x:v>
      </x:c>
      <x:c r="O21" s="33" t="n">
        <x:f>O17-O20</x:f>
        <x:v>0</x:v>
      </x:c>
      <x:c r="P21" s="33" t="n">
        <x:f>P17-P20</x:f>
        <x:v>35.88</x:v>
      </x:c>
      <x:c r="Q21" s="33" t="n">
        <x:f>Q17-Q20</x:f>
        <x:v>54.28</x:v>
      </x:c>
      <x:c r="R21" s="33" t="n">
        <x:f>R17-R20</x:f>
        <x:v>73.6</x:v>
      </x:c>
      <x:c r="S21" s="33" t="n">
        <x:f>S17-S20</x:f>
        <x:v>73.6</x:v>
      </x:c>
      <x:c r="T21" s="33" t="n">
        <x:f>T17-T20</x:f>
        <x:v>73.6</x:v>
      </x:c>
      <x:c r="U21" s="33" t="n">
        <x:f>U17-U20</x:f>
        <x:v>73.6</x:v>
      </x:c>
      <x:c r="V21" s="33" t="n">
        <x:f>V17-V20</x:f>
        <x:v>292.95</x:v>
      </x:c>
      <x:c r="W21" s="33" t="n">
        <x:f>W17-W20</x:f>
        <x:v>292.95</x:v>
      </x:c>
      <x:c r="X21" s="33" t="n">
        <x:f>X17-X20</x:f>
        <x:v>292.95</x:v>
      </x:c>
      <x:c r="Y21" s="33" t="n">
        <x:f>Y17-Y20</x:f>
        <x:v>292.95</x:v>
      </x:c>
      <x:c r="Z21" s="33" t="n">
        <x:f>Z17-Z20</x:f>
        <x:v>292.95</x:v>
      </x:c>
      <x:c r="AA21" s="33" t="n">
        <x:f>AA17-AA20</x:f>
        <x:v>292.95</x:v>
      </x:c>
      <x:c r="AB21" s="33" t="n">
        <x:f>AB17-AB20</x:f>
        <x:v>292.95</x:v>
      </x:c>
      <x:c r="AC21" s="33" t="n">
        <x:f>AC17-AC20</x:f>
        <x:v>292.95</x:v>
      </x:c>
      <x:c r="AD21" s="33" t="n">
        <x:f>AD17-AD20</x:f>
        <x:v>292.95</x:v>
      </x:c>
      <x:c r="AE21" s="33" t="n">
        <x:f>AE17-AE20</x:f>
        <x:v>292.95</x:v>
      </x:c>
      <x:c r="AF21" s="33" t="n">
        <x:f>AF17-AF20</x:f>
        <x:v>292.95</x:v>
      </x:c>
      <x:c r="AG21" s="33" t="n">
        <x:f>AG17-AG20</x:f>
        <x:v>292.95</x:v>
      </x:c>
      <x:c r="AH21" s="33" t="n">
        <x:f>AH17-AH20</x:f>
        <x:v>690.9</x:v>
      </x:c>
      <x:c r="AI21" s="33" t="n">
        <x:f>AI17-AI20</x:f>
        <x:v>690.9</x:v>
      </x:c>
      <x:c r="AJ21" s="33" t="n">
        <x:f>AJ17-AJ20</x:f>
        <x:v>690.9</x:v>
      </x:c>
      <x:c r="AK21" s="33" t="n">
        <x:f>AK17-AK20</x:f>
        <x:v>690.9</x:v>
      </x:c>
      <x:c r="AL21" s="33" t="n">
        <x:f>AL17-AL20</x:f>
        <x:v>690.9</x:v>
      </x:c>
      <x:c r="AM21" s="33" t="n">
        <x:f>AM17-AM20</x:f>
        <x:v>690.9</x:v>
      </x:c>
      <x:c r="AN21" s="33" t="n">
        <x:f>AN17-AN20</x:f>
        <x:v>690.9</x:v>
      </x:c>
      <x:c r="AO21" s="33" t="n">
        <x:f>AO17-AO20</x:f>
        <x:v>690.9</x:v>
      </x:c>
      <x:c r="AP21" s="33" t="n">
        <x:f>AP17-AP20</x:f>
        <x:v>690.9</x:v>
      </x:c>
      <x:c r="AQ21" s="33" t="n">
        <x:f>AQ17-AQ20</x:f>
        <x:v>690.9</x:v>
      </x:c>
      <x:c r="AR21" s="33" t="n">
        <x:f>AR17-AR20</x:f>
        <x:v>690.9</x:v>
      </x:c>
      <x:c r="AS21" s="33" t="n">
        <x:f>AS17-AS20</x:f>
        <x:v>690.9</x:v>
      </x:c>
    </x:row>
    <x:row r="22" ht="23" customHeight="1">
      <x:c r="A22" s="2"/>
      <x:c r="B22" s="2"/>
      <x:c r="C22" s="2" t="str">
        <x:v>리테일 반품 기대 건수</x:v>
      </x:c>
      <x:c r="D22" s="2" t="str">
        <x:v>개</x:v>
      </x:c>
      <x:c r="E22" s="2"/>
      <x:c r="F22" s="33" t="n">
        <x:f>SUM(J22:U22)</x:f>
        <x:v>0</x:v>
      </x:c>
      <x:c r="G22" s="33" t="n">
        <x:f>SUM(V22:AG22)</x:f>
        <x:v>0</x:v>
      </x:c>
      <x:c r="H22" s="33" t="n">
        <x:f>SUM(AH22:AS22)</x:f>
        <x:v>0</x:v>
      </x:c>
      <x:c r="I22" s="2"/>
      <x:c r="J22" s="31" t="n">
        <x:f>J18*'01_가정'!$F$98</x:f>
        <x:v>0</x:v>
      </x:c>
      <x:c r="K22" s="31" t="n">
        <x:f>K18*'01_가정'!$F$98</x:f>
        <x:v>0</x:v>
      </x:c>
      <x:c r="L22" s="31" t="n">
        <x:f>L18*'01_가정'!$F$98</x:f>
        <x:v>0</x:v>
      </x:c>
      <x:c r="M22" s="31" t="n">
        <x:f>M18*'01_가정'!$F$98</x:f>
        <x:v>0</x:v>
      </x:c>
      <x:c r="N22" s="31" t="n">
        <x:f>N18*'01_가정'!$F$98</x:f>
        <x:v>0</x:v>
      </x:c>
      <x:c r="O22" s="31" t="n">
        <x:f>O18*'01_가정'!$F$98</x:f>
        <x:v>0</x:v>
      </x:c>
      <x:c r="P22" s="31" t="n">
        <x:f>P18*'01_가정'!$F$98</x:f>
        <x:v>0</x:v>
      </x:c>
      <x:c r="Q22" s="31" t="n">
        <x:f>Q18*'01_가정'!$F$98</x:f>
        <x:v>0</x:v>
      </x:c>
      <x:c r="R22" s="31" t="n">
        <x:f>R18*'01_가정'!$F$98</x:f>
        <x:v>0</x:v>
      </x:c>
      <x:c r="S22" s="31" t="n">
        <x:f>S18*'01_가정'!$F$98</x:f>
        <x:v>0</x:v>
      </x:c>
      <x:c r="T22" s="31" t="n">
        <x:f>T18*'01_가정'!$F$98</x:f>
        <x:v>0</x:v>
      </x:c>
      <x:c r="U22" s="31" t="n">
        <x:f>U18*'01_가정'!$F$98</x:f>
        <x:v>0</x:v>
      </x:c>
      <x:c r="V22" s="31" t="n">
        <x:f>V18*'01_가정'!$F$98</x:f>
        <x:v>0</x:v>
      </x:c>
      <x:c r="W22" s="31" t="n">
        <x:f>W18*'01_가정'!$F$98</x:f>
        <x:v>0</x:v>
      </x:c>
      <x:c r="X22" s="31" t="n">
        <x:f>X18*'01_가정'!$F$98</x:f>
        <x:v>0</x:v>
      </x:c>
      <x:c r="Y22" s="31" t="n">
        <x:f>Y18*'01_가정'!$F$98</x:f>
        <x:v>0</x:v>
      </x:c>
      <x:c r="Z22" s="31" t="n">
        <x:f>Z18*'01_가정'!$F$98</x:f>
        <x:v>0</x:v>
      </x:c>
      <x:c r="AA22" s="31" t="n">
        <x:f>AA18*'01_가정'!$F$98</x:f>
        <x:v>0</x:v>
      </x:c>
      <x:c r="AB22" s="31" t="n">
        <x:f>AB18*'01_가정'!$F$98</x:f>
        <x:v>0</x:v>
      </x:c>
      <x:c r="AC22" s="31" t="n">
        <x:f>AC18*'01_가정'!$F$98</x:f>
        <x:v>0</x:v>
      </x:c>
      <x:c r="AD22" s="31" t="n">
        <x:f>AD18*'01_가정'!$F$98</x:f>
        <x:v>0</x:v>
      </x:c>
      <x:c r="AE22" s="31" t="n">
        <x:f>AE18*'01_가정'!$F$98</x:f>
        <x:v>0</x:v>
      </x:c>
      <x:c r="AF22" s="31" t="n">
        <x:f>AF18*'01_가정'!$F$98</x:f>
        <x:v>0</x:v>
      </x:c>
      <x:c r="AG22" s="31" t="n">
        <x:f>AG18*'01_가정'!$F$98</x:f>
        <x:v>0</x:v>
      </x:c>
      <x:c r="AH22" s="31" t="n">
        <x:f>AH18*'01_가정'!$F$98</x:f>
        <x:v>0</x:v>
      </x:c>
      <x:c r="AI22" s="31" t="n">
        <x:f>AI18*'01_가정'!$F$98</x:f>
        <x:v>0</x:v>
      </x:c>
      <x:c r="AJ22" s="31" t="n">
        <x:f>AJ18*'01_가정'!$F$98</x:f>
        <x:v>0</x:v>
      </x:c>
      <x:c r="AK22" s="31" t="n">
        <x:f>AK18*'01_가정'!$F$98</x:f>
        <x:v>0</x:v>
      </x:c>
      <x:c r="AL22" s="31" t="n">
        <x:f>AL18*'01_가정'!$F$98</x:f>
        <x:v>0</x:v>
      </x:c>
      <x:c r="AM22" s="31" t="n">
        <x:f>AM18*'01_가정'!$F$98</x:f>
        <x:v>0</x:v>
      </x:c>
      <x:c r="AN22" s="31" t="n">
        <x:f>AN18*'01_가정'!$F$98</x:f>
        <x:v>0</x:v>
      </x:c>
      <x:c r="AO22" s="31" t="n">
        <x:f>AO18*'01_가정'!$F$98</x:f>
        <x:v>0</x:v>
      </x:c>
      <x:c r="AP22" s="31" t="n">
        <x:f>AP18*'01_가정'!$F$98</x:f>
        <x:v>0</x:v>
      </x:c>
      <x:c r="AQ22" s="31" t="n">
        <x:f>AQ18*'01_가정'!$F$98</x:f>
        <x:v>0</x:v>
      </x:c>
      <x:c r="AR22" s="31" t="n">
        <x:f>AR18*'01_가정'!$F$98</x:f>
        <x:v>0</x:v>
      </x:c>
      <x:c r="AS22" s="31" t="n">
        <x:f>AS18*'01_가정'!$F$98</x:f>
        <x:v>0</x:v>
      </x:c>
    </x:row>
    <x:row r="23" ht="23" customHeight="1">
      <x:c r="A23" s="2"/>
      <x:c r="B23" s="2"/>
      <x:c r="C23" s="2" t="str">
        <x:v>총 비반품 구매자</x:v>
      </x:c>
      <x:c r="D23" s="2" t="str">
        <x:v>명</x:v>
      </x:c>
      <x:c r="E23" s="2"/>
      <x:c r="F23" s="33" t="n">
        <x:f>SUM(J23:U23)</x:f>
        <x:v>384.55999999999995</x:v>
      </x:c>
      <x:c r="G23" s="33" t="n">
        <x:f>SUM(V23:AG23)</x:f>
        <x:v>3515.399999999999</x:v>
      </x:c>
      <x:c r="H23" s="33" t="n">
        <x:f>SUM(AH23:AS23)</x:f>
        <x:v>8290.799999999997</x:v>
      </x:c>
      <x:c r="I23" s="2"/>
      <x:c r="J23" s="33" t="n">
        <x:f>J21+J18-J22</x:f>
        <x:v>0</x:v>
      </x:c>
      <x:c r="K23" s="33" t="n">
        <x:f>K21+K18-K22</x:f>
        <x:v>0</x:v>
      </x:c>
      <x:c r="L23" s="33" t="n">
        <x:f>L21+L18-L22</x:f>
        <x:v>0</x:v>
      </x:c>
      <x:c r="M23" s="33" t="n">
        <x:f>M21+M18-M22</x:f>
        <x:v>0</x:v>
      </x:c>
      <x:c r="N23" s="33" t="n">
        <x:f>N21+N18-N22</x:f>
        <x:v>0</x:v>
      </x:c>
      <x:c r="O23" s="33" t="n">
        <x:f>O21+O18-O22</x:f>
        <x:v>0</x:v>
      </x:c>
      <x:c r="P23" s="33" t="n">
        <x:f>P21+P18-P22</x:f>
        <x:v>35.88</x:v>
      </x:c>
      <x:c r="Q23" s="33" t="n">
        <x:f>Q21+Q18-Q22</x:f>
        <x:v>54.28</x:v>
      </x:c>
      <x:c r="R23" s="33" t="n">
        <x:f>R21+R18-R22</x:f>
        <x:v>73.6</x:v>
      </x:c>
      <x:c r="S23" s="33" t="n">
        <x:f>S21+S18-S22</x:f>
        <x:v>73.6</x:v>
      </x:c>
      <x:c r="T23" s="33" t="n">
        <x:f>T21+T18-T22</x:f>
        <x:v>73.6</x:v>
      </x:c>
      <x:c r="U23" s="33" t="n">
        <x:f>U21+U18-U22</x:f>
        <x:v>73.6</x:v>
      </x:c>
      <x:c r="V23" s="33" t="n">
        <x:f>V21+V18-V22</x:f>
        <x:v>292.95</x:v>
      </x:c>
      <x:c r="W23" s="33" t="n">
        <x:f>W21+W18-W22</x:f>
        <x:v>292.95</x:v>
      </x:c>
      <x:c r="X23" s="33" t="n">
        <x:f>X21+X18-X22</x:f>
        <x:v>292.95</x:v>
      </x:c>
      <x:c r="Y23" s="33" t="n">
        <x:f>Y21+Y18-Y22</x:f>
        <x:v>292.95</x:v>
      </x:c>
      <x:c r="Z23" s="33" t="n">
        <x:f>Z21+Z18-Z22</x:f>
        <x:v>292.95</x:v>
      </x:c>
      <x:c r="AA23" s="33" t="n">
        <x:f>AA21+AA18-AA22</x:f>
        <x:v>292.95</x:v>
      </x:c>
      <x:c r="AB23" s="33" t="n">
        <x:f>AB21+AB18-AB22</x:f>
        <x:v>292.95</x:v>
      </x:c>
      <x:c r="AC23" s="33" t="n">
        <x:f>AC21+AC18-AC22</x:f>
        <x:v>292.95</x:v>
      </x:c>
      <x:c r="AD23" s="33" t="n">
        <x:f>AD21+AD18-AD22</x:f>
        <x:v>292.95</x:v>
      </x:c>
      <x:c r="AE23" s="33" t="n">
        <x:f>AE21+AE18-AE22</x:f>
        <x:v>292.95</x:v>
      </x:c>
      <x:c r="AF23" s="33" t="n">
        <x:f>AF21+AF18-AF22</x:f>
        <x:v>292.95</x:v>
      </x:c>
      <x:c r="AG23" s="33" t="n">
        <x:f>AG21+AG18-AG22</x:f>
        <x:v>292.95</x:v>
      </x:c>
      <x:c r="AH23" s="33" t="n">
        <x:f>AH21+AH18-AH22</x:f>
        <x:v>690.9</x:v>
      </x:c>
      <x:c r="AI23" s="33" t="n">
        <x:f>AI21+AI18-AI22</x:f>
        <x:v>690.9</x:v>
      </x:c>
      <x:c r="AJ23" s="33" t="n">
        <x:f>AJ21+AJ18-AJ22</x:f>
        <x:v>690.9</x:v>
      </x:c>
      <x:c r="AK23" s="33" t="n">
        <x:f>AK21+AK18-AK22</x:f>
        <x:v>690.9</x:v>
      </x:c>
      <x:c r="AL23" s="33" t="n">
        <x:f>AL21+AL18-AL22</x:f>
        <x:v>690.9</x:v>
      </x:c>
      <x:c r="AM23" s="33" t="n">
        <x:f>AM21+AM18-AM22</x:f>
        <x:v>690.9</x:v>
      </x:c>
      <x:c r="AN23" s="33" t="n">
        <x:f>AN21+AN18-AN22</x:f>
        <x:v>690.9</x:v>
      </x:c>
      <x:c r="AO23" s="33" t="n">
        <x:f>AO21+AO18-AO22</x:f>
        <x:v>690.9</x:v>
      </x:c>
      <x:c r="AP23" s="33" t="n">
        <x:f>AP21+AP18-AP22</x:f>
        <x:v>690.9</x:v>
      </x:c>
      <x:c r="AQ23" s="33" t="n">
        <x:f>AQ21+AQ18-AQ22</x:f>
        <x:v>690.9</x:v>
      </x:c>
      <x:c r="AR23" s="33" t="n">
        <x:f>AR21+AR18-AR22</x:f>
        <x:v>690.9</x:v>
      </x:c>
      <x:c r="AS23" s="33" t="n">
        <x:f>AS21+AS18-AS22</x:f>
        <x:v>690.9</x:v>
      </x:c>
    </x:row>
    <x:row r="24" ht="23" customHeight="1">
      <x:c r="A24" s="2"/>
      <x:c r="B24" s="2"/>
      <x:c r="C24" s="2" t="str">
        <x:v>해당 월 리필 참여율</x:v>
      </x:c>
      <x:c r="D24" s="2" t="str">
        <x:v>%</x:v>
      </x:c>
      <x:c r="E24" s="2"/>
      <x:c r="F24" s="2"/>
      <x:c r="G24" s="2"/>
      <x:c r="H24" s="2"/>
      <x:c r="I24" s="2"/>
      <x:c r="J24" s="32" t="n">
        <x:f>'01_가정'!F30</x:f>
        <x:v>0.25</x:v>
      </x:c>
      <x:c r="K24" s="32" t="n">
        <x:f>'01_가정'!F30</x:f>
        <x:v>0.25</x:v>
      </x:c>
      <x:c r="L24" s="32" t="n">
        <x:f>'01_가정'!F30</x:f>
        <x:v>0.25</x:v>
      </x:c>
      <x:c r="M24" s="32" t="n">
        <x:f>'01_가정'!F30</x:f>
        <x:v>0.25</x:v>
      </x:c>
      <x:c r="N24" s="32" t="n">
        <x:f>'01_가정'!F30</x:f>
        <x:v>0.25</x:v>
      </x:c>
      <x:c r="O24" s="32" t="n">
        <x:f>'01_가정'!F30</x:f>
        <x:v>0.25</x:v>
      </x:c>
      <x:c r="P24" s="32" t="n">
        <x:f>'01_가정'!F30</x:f>
        <x:v>0.25</x:v>
      </x:c>
      <x:c r="Q24" s="32" t="n">
        <x:f>'01_가정'!F30</x:f>
        <x:v>0.25</x:v>
      </x:c>
      <x:c r="R24" s="32" t="n">
        <x:f>'01_가정'!F30</x:f>
        <x:v>0.25</x:v>
      </x:c>
      <x:c r="S24" s="32" t="n">
        <x:f>'01_가정'!F30</x:f>
        <x:v>0.25</x:v>
      </x:c>
      <x:c r="T24" s="32" t="n">
        <x:f>'01_가정'!F30</x:f>
        <x:v>0.25</x:v>
      </x:c>
      <x:c r="U24" s="32" t="n">
        <x:f>'01_가정'!F30</x:f>
        <x:v>0.25</x:v>
      </x:c>
      <x:c r="V24" s="32" t="n">
        <x:f>'01_가정'!G30</x:f>
        <x:v>0.3</x:v>
      </x:c>
      <x:c r="W24" s="32" t="n">
        <x:f>'01_가정'!G30</x:f>
        <x:v>0.3</x:v>
      </x:c>
      <x:c r="X24" s="32" t="n">
        <x:f>'01_가정'!G30</x:f>
        <x:v>0.3</x:v>
      </x:c>
      <x:c r="Y24" s="32" t="n">
        <x:f>'01_가정'!G30</x:f>
        <x:v>0.3</x:v>
      </x:c>
      <x:c r="Z24" s="32" t="n">
        <x:f>'01_가정'!G30</x:f>
        <x:v>0.3</x:v>
      </x:c>
      <x:c r="AA24" s="32" t="n">
        <x:f>'01_가정'!G30</x:f>
        <x:v>0.3</x:v>
      </x:c>
      <x:c r="AB24" s="32" t="n">
        <x:f>'01_가정'!G30</x:f>
        <x:v>0.3</x:v>
      </x:c>
      <x:c r="AC24" s="32" t="n">
        <x:f>'01_가정'!G30</x:f>
        <x:v>0.3</x:v>
      </x:c>
      <x:c r="AD24" s="32" t="n">
        <x:f>'01_가정'!G30</x:f>
        <x:v>0.3</x:v>
      </x:c>
      <x:c r="AE24" s="32" t="n">
        <x:f>'01_가정'!G30</x:f>
        <x:v>0.3</x:v>
      </x:c>
      <x:c r="AF24" s="32" t="n">
        <x:f>'01_가정'!G30</x:f>
        <x:v>0.3</x:v>
      </x:c>
      <x:c r="AG24" s="32" t="n">
        <x:f>'01_가정'!G30</x:f>
        <x:v>0.3</x:v>
      </x:c>
      <x:c r="AH24" s="32" t="n">
        <x:f>'01_가정'!H30</x:f>
        <x:v>0.35</x:v>
      </x:c>
      <x:c r="AI24" s="32" t="n">
        <x:f>'01_가정'!H30</x:f>
        <x:v>0.35</x:v>
      </x:c>
      <x:c r="AJ24" s="32" t="n">
        <x:f>'01_가정'!H30</x:f>
        <x:v>0.35</x:v>
      </x:c>
      <x:c r="AK24" s="32" t="n">
        <x:f>'01_가정'!H30</x:f>
        <x:v>0.35</x:v>
      </x:c>
      <x:c r="AL24" s="32" t="n">
        <x:f>'01_가정'!H30</x:f>
        <x:v>0.35</x:v>
      </x:c>
      <x:c r="AM24" s="32" t="n">
        <x:f>'01_가정'!H30</x:f>
        <x:v>0.35</x:v>
      </x:c>
      <x:c r="AN24" s="32" t="n">
        <x:f>'01_가정'!H30</x:f>
        <x:v>0.35</x:v>
      </x:c>
      <x:c r="AO24" s="32" t="n">
        <x:f>'01_가정'!H30</x:f>
        <x:v>0.35</x:v>
      </x:c>
      <x:c r="AP24" s="32" t="n">
        <x:f>'01_가정'!H30</x:f>
        <x:v>0.35</x:v>
      </x:c>
      <x:c r="AQ24" s="32" t="n">
        <x:f>'01_가정'!H30</x:f>
        <x:v>0.35</x:v>
      </x:c>
      <x:c r="AR24" s="32" t="n">
        <x:f>'01_가정'!H30</x:f>
        <x:v>0.35</x:v>
      </x:c>
      <x:c r="AS24" s="32" t="n">
        <x:f>'01_가정'!H30</x:f>
        <x:v>0.35</x:v>
      </x:c>
    </x:row>
    <x:row r="25" ht="23" customHeight="1">
      <x:c r="A25" s="2"/>
      <x:c r="B25" s="2"/>
      <x:c r="C25" s="2" t="str">
        <x:v>해당 월 리필 유지율</x:v>
      </x:c>
      <x:c r="D25" s="2" t="str">
        <x:v>%</x:v>
      </x:c>
      <x:c r="E25" s="2"/>
      <x:c r="F25" s="2"/>
      <x:c r="G25" s="2"/>
      <x:c r="H25" s="2"/>
      <x:c r="I25" s="2"/>
      <x:c r="J25" s="32" t="n">
        <x:f>'01_가정'!F34</x:f>
        <x:v>0.9</x:v>
      </x:c>
      <x:c r="K25" s="32" t="n">
        <x:f>'01_가정'!F34</x:f>
        <x:v>0.9</x:v>
      </x:c>
      <x:c r="L25" s="32" t="n">
        <x:f>'01_가정'!F34</x:f>
        <x:v>0.9</x:v>
      </x:c>
      <x:c r="M25" s="32" t="n">
        <x:f>'01_가정'!F34</x:f>
        <x:v>0.9</x:v>
      </x:c>
      <x:c r="N25" s="32" t="n">
        <x:f>'01_가정'!F34</x:f>
        <x:v>0.9</x:v>
      </x:c>
      <x:c r="O25" s="32" t="n">
        <x:f>'01_가정'!F34</x:f>
        <x:v>0.9</x:v>
      </x:c>
      <x:c r="P25" s="32" t="n">
        <x:f>'01_가정'!F34</x:f>
        <x:v>0.9</x:v>
      </x:c>
      <x:c r="Q25" s="32" t="n">
        <x:f>'01_가정'!F34</x:f>
        <x:v>0.9</x:v>
      </x:c>
      <x:c r="R25" s="32" t="n">
        <x:f>'01_가정'!F34</x:f>
        <x:v>0.9</x:v>
      </x:c>
      <x:c r="S25" s="32" t="n">
        <x:f>'01_가정'!F34</x:f>
        <x:v>0.9</x:v>
      </x:c>
      <x:c r="T25" s="32" t="n">
        <x:f>'01_가정'!F34</x:f>
        <x:v>0.9</x:v>
      </x:c>
      <x:c r="U25" s="32" t="n">
        <x:f>'01_가정'!F34</x:f>
        <x:v>0.9</x:v>
      </x:c>
      <x:c r="V25" s="32" t="n">
        <x:f>'01_가정'!G34</x:f>
        <x:v>0.91</x:v>
      </x:c>
      <x:c r="W25" s="32" t="n">
        <x:f>'01_가정'!G34</x:f>
        <x:v>0.91</x:v>
      </x:c>
      <x:c r="X25" s="32" t="n">
        <x:f>'01_가정'!G34</x:f>
        <x:v>0.91</x:v>
      </x:c>
      <x:c r="Y25" s="32" t="n">
        <x:f>'01_가정'!G34</x:f>
        <x:v>0.91</x:v>
      </x:c>
      <x:c r="Z25" s="32" t="n">
        <x:f>'01_가정'!G34</x:f>
        <x:v>0.91</x:v>
      </x:c>
      <x:c r="AA25" s="32" t="n">
        <x:f>'01_가정'!G34</x:f>
        <x:v>0.91</x:v>
      </x:c>
      <x:c r="AB25" s="32" t="n">
        <x:f>'01_가정'!G34</x:f>
        <x:v>0.91</x:v>
      </x:c>
      <x:c r="AC25" s="32" t="n">
        <x:f>'01_가정'!G34</x:f>
        <x:v>0.91</x:v>
      </x:c>
      <x:c r="AD25" s="32" t="n">
        <x:f>'01_가정'!G34</x:f>
        <x:v>0.91</x:v>
      </x:c>
      <x:c r="AE25" s="32" t="n">
        <x:f>'01_가정'!G34</x:f>
        <x:v>0.91</x:v>
      </x:c>
      <x:c r="AF25" s="32" t="n">
        <x:f>'01_가정'!G34</x:f>
        <x:v>0.91</x:v>
      </x:c>
      <x:c r="AG25" s="32" t="n">
        <x:f>'01_가정'!G34</x:f>
        <x:v>0.91</x:v>
      </x:c>
      <x:c r="AH25" s="32" t="n">
        <x:f>'01_가정'!H34</x:f>
        <x:v>0.92</x:v>
      </x:c>
      <x:c r="AI25" s="32" t="n">
        <x:f>'01_가정'!H34</x:f>
        <x:v>0.92</x:v>
      </x:c>
      <x:c r="AJ25" s="32" t="n">
        <x:f>'01_가정'!H34</x:f>
        <x:v>0.92</x:v>
      </x:c>
      <x:c r="AK25" s="32" t="n">
        <x:f>'01_가정'!H34</x:f>
        <x:v>0.92</x:v>
      </x:c>
      <x:c r="AL25" s="32" t="n">
        <x:f>'01_가정'!H34</x:f>
        <x:v>0.92</x:v>
      </x:c>
      <x:c r="AM25" s="32" t="n">
        <x:f>'01_가정'!H34</x:f>
        <x:v>0.92</x:v>
      </x:c>
      <x:c r="AN25" s="32" t="n">
        <x:f>'01_가정'!H34</x:f>
        <x:v>0.92</x:v>
      </x:c>
      <x:c r="AO25" s="32" t="n">
        <x:f>'01_가정'!H34</x:f>
        <x:v>0.92</x:v>
      </x:c>
      <x:c r="AP25" s="32" t="n">
        <x:f>'01_가정'!H34</x:f>
        <x:v>0.92</x:v>
      </x:c>
      <x:c r="AQ25" s="32" t="n">
        <x:f>'01_가정'!H34</x:f>
        <x:v>0.92</x:v>
      </x:c>
      <x:c r="AR25" s="32" t="n">
        <x:f>'01_가정'!H34</x:f>
        <x:v>0.92</x:v>
      </x:c>
      <x:c r="AS25" s="32" t="n">
        <x:f>'01_가정'!H34</x:f>
        <x:v>0.92</x:v>
      </x:c>
    </x:row>
    <x:row r="26" ht="23" customHeight="1">
      <x:c r="A26" s="2"/>
      <x:c r="B26" s="2"/>
      <x:c r="C26" s="2" t="str">
        <x:v>신규 리필 구매자</x:v>
      </x:c>
      <x:c r="D26" s="2" t="str">
        <x:v>명</x:v>
      </x:c>
      <x:c r="E26" s="2"/>
      <x:c r="F26" s="33" t="n">
        <x:f>SUM(J26:U26)</x:f>
        <x:v>77.74</x:v>
      </x:c>
      <x:c r="G26" s="33" t="n">
        <x:f>SUM(V26:AG26)</x:f>
        <x:v>985.1349999999999</x:v>
      </x:c>
      <x:c r="H26" s="33" t="n">
        <x:f>SUM(AH26:AS26)</x:f>
        <x:v>2747.85</x:v>
      </x:c>
      <x:c r="I26" s="2"/>
      <x:c r="J26" s="33" t="n">
        <x:f>0</x:f>
        <x:v>0</x:v>
      </x:c>
      <x:c r="K26" s="33" t="n">
        <x:f>J21*J24</x:f>
        <x:v>0</x:v>
      </x:c>
      <x:c r="L26" s="33" t="n">
        <x:f>K21*K24</x:f>
        <x:v>0</x:v>
      </x:c>
      <x:c r="M26" s="33" t="n">
        <x:f>L21*L24</x:f>
        <x:v>0</x:v>
      </x:c>
      <x:c r="N26" s="33" t="n">
        <x:f>M21*M24</x:f>
        <x:v>0</x:v>
      </x:c>
      <x:c r="O26" s="33" t="n">
        <x:f>N21*N24</x:f>
        <x:v>0</x:v>
      </x:c>
      <x:c r="P26" s="33" t="n">
        <x:f>O21*O24</x:f>
        <x:v>0</x:v>
      </x:c>
      <x:c r="Q26" s="33" t="n">
        <x:f>P21*P24</x:f>
        <x:v>8.97</x:v>
      </x:c>
      <x:c r="R26" s="33" t="n">
        <x:f>Q21*Q24</x:f>
        <x:v>13.57</x:v>
      </x:c>
      <x:c r="S26" s="33" t="n">
        <x:f>R21*R24</x:f>
        <x:v>18.4</x:v>
      </x:c>
      <x:c r="T26" s="33" t="n">
        <x:f>S21*S24</x:f>
        <x:v>18.4</x:v>
      </x:c>
      <x:c r="U26" s="33" t="n">
        <x:f>T21*T24</x:f>
        <x:v>18.4</x:v>
      </x:c>
      <x:c r="V26" s="33" t="n">
        <x:f>U21*U24</x:f>
        <x:v>18.4</x:v>
      </x:c>
      <x:c r="W26" s="33" t="n">
        <x:f>V21*V24</x:f>
        <x:v>87.88499999999999</x:v>
      </x:c>
      <x:c r="X26" s="33" t="n">
        <x:f>W21*W24</x:f>
        <x:v>87.88499999999999</x:v>
      </x:c>
      <x:c r="Y26" s="33" t="n">
        <x:f>X21*X24</x:f>
        <x:v>87.88499999999999</x:v>
      </x:c>
      <x:c r="Z26" s="33" t="n">
        <x:f>Y21*Y24</x:f>
        <x:v>87.88499999999999</x:v>
      </x:c>
      <x:c r="AA26" s="33" t="n">
        <x:f>Z21*Z24</x:f>
        <x:v>87.88499999999999</x:v>
      </x:c>
      <x:c r="AB26" s="33" t="n">
        <x:f>AA21*AA24</x:f>
        <x:v>87.88499999999999</x:v>
      </x:c>
      <x:c r="AC26" s="33" t="n">
        <x:f>AB21*AB24</x:f>
        <x:v>87.88499999999999</x:v>
      </x:c>
      <x:c r="AD26" s="33" t="n">
        <x:f>AC21*AC24</x:f>
        <x:v>87.88499999999999</x:v>
      </x:c>
      <x:c r="AE26" s="33" t="n">
        <x:f>AD21*AD24</x:f>
        <x:v>87.88499999999999</x:v>
      </x:c>
      <x:c r="AF26" s="33" t="n">
        <x:f>AE21*AE24</x:f>
        <x:v>87.88499999999999</x:v>
      </x:c>
      <x:c r="AG26" s="33" t="n">
        <x:f>AF21*AF24</x:f>
        <x:v>87.88499999999999</x:v>
      </x:c>
      <x:c r="AH26" s="33" t="n">
        <x:f>AG21*AG24</x:f>
        <x:v>87.88499999999999</x:v>
      </x:c>
      <x:c r="AI26" s="33" t="n">
        <x:f>AH21*AH24</x:f>
        <x:v>241.81499999999997</x:v>
      </x:c>
      <x:c r="AJ26" s="33" t="n">
        <x:f>AI21*AI24</x:f>
        <x:v>241.81499999999997</x:v>
      </x:c>
      <x:c r="AK26" s="33" t="n">
        <x:f>AJ21*AJ24</x:f>
        <x:v>241.81499999999997</x:v>
      </x:c>
      <x:c r="AL26" s="33" t="n">
        <x:f>AK21*AK24</x:f>
        <x:v>241.81499999999997</x:v>
      </x:c>
      <x:c r="AM26" s="33" t="n">
        <x:f>AL21*AL24</x:f>
        <x:v>241.81499999999997</x:v>
      </x:c>
      <x:c r="AN26" s="33" t="n">
        <x:f>AM21*AM24</x:f>
        <x:v>241.81499999999997</x:v>
      </x:c>
      <x:c r="AO26" s="33" t="n">
        <x:f>AN21*AN24</x:f>
        <x:v>241.81499999999997</x:v>
      </x:c>
      <x:c r="AP26" s="33" t="n">
        <x:f>AO21*AO24</x:f>
        <x:v>241.81499999999997</x:v>
      </x:c>
      <x:c r="AQ26" s="33" t="n">
        <x:f>AP21*AP24</x:f>
        <x:v>241.81499999999997</x:v>
      </x:c>
      <x:c r="AR26" s="33" t="n">
        <x:f>AQ21*AQ24</x:f>
        <x:v>241.81499999999997</x:v>
      </x:c>
      <x:c r="AS26" s="33" t="n">
        <x:f>AR21*AR24</x:f>
        <x:v>241.81499999999997</x:v>
      </x:c>
    </x:row>
    <x:row r="27" ht="23" customHeight="1">
      <x:c r="A27" s="2"/>
      <x:c r="B27" s="2"/>
      <x:c r="C27" s="2" t="str">
        <x:v>전월 구매자 중 재구매</x:v>
      </x:c>
      <x:c r="D27" s="2" t="str">
        <x:v>명</x:v>
      </x:c>
      <x:c r="E27" s="2"/>
      <x:c r="F27" s="33" t="n">
        <x:f>SUM(J27:U27)</x:f>
        <x:v>108.884277</x:v>
      </x:c>
      <x:c r="G27" s="33" t="n">
        <x:f>SUM(V27:AG27)</x:f>
        <x:v>3969.9206310526074</x:v>
      </x:c>
      <x:c r="H27" s="33" t="n">
        <x:f>SUM(AH27:AS27)</x:f>
        <x:v>15113.160777172703</x:v>
      </x:c>
      <x:c r="I27" s="2"/>
      <x:c r="J27" s="33" t="n">
        <x:f>0</x:f>
        <x:v>0</x:v>
      </x:c>
      <x:c r="K27" s="33" t="n">
        <x:f>J28*K25</x:f>
        <x:v>0</x:v>
      </x:c>
      <x:c r="L27" s="33" t="n">
        <x:f>K28*L25</x:f>
        <x:v>0</x:v>
      </x:c>
      <x:c r="M27" s="33" t="n">
        <x:f>L28*M25</x:f>
        <x:v>0</x:v>
      </x:c>
      <x:c r="N27" s="33" t="n">
        <x:f>M28*N25</x:f>
        <x:v>0</x:v>
      </x:c>
      <x:c r="O27" s="33" t="n">
        <x:f>N28*O25</x:f>
        <x:v>0</x:v>
      </x:c>
      <x:c r="P27" s="33" t="n">
        <x:f>O28*P25</x:f>
        <x:v>0</x:v>
      </x:c>
      <x:c r="Q27" s="33" t="n">
        <x:f>P28*Q25</x:f>
        <x:v>0</x:v>
      </x:c>
      <x:c r="R27" s="33" t="n">
        <x:f>Q28*R25</x:f>
        <x:v>8.073</x:v>
      </x:c>
      <x:c r="S27" s="33" t="n">
        <x:f>R28*S25</x:f>
        <x:v>19.4787</x:v>
      </x:c>
      <x:c r="T27" s="33" t="n">
        <x:f>S28*T25</x:f>
        <x:v>34.09083</x:v>
      </x:c>
      <x:c r="U27" s="33" t="n">
        <x:f>T28*U25</x:f>
        <x:v>47.241747</x:v>
      </x:c>
      <x:c r="V27" s="33" t="n">
        <x:f>U28*V25</x:f>
        <x:v>59.73398977</x:v>
      </x:c>
      <x:c r="W27" s="33" t="n">
        <x:f>V28*W25</x:f>
        <x:v>71.1019306907</x:v>
      </x:c>
      <x:c r="X27" s="33" t="n">
        <x:f>W28*X25</x:f>
        <x:v>144.67810692853698</x:v>
      </x:c>
      <x:c r="Y27" s="33" t="n">
        <x:f>X28*Y25</x:f>
        <x:v>211.63242730496864</x:v>
      </x:c>
      <x:c r="Z27" s="33" t="n">
        <x:f>Y28*Z25</x:f>
        <x:v>272.56085884752144</x:v>
      </x:c>
      <x:c r="AA27" s="33" t="n">
        <x:f>Z28*AA25</x:f>
        <x:v>328.00573155124454</x:v>
      </x:c>
      <x:c r="AB27" s="33" t="n">
        <x:f>AA28*AB25</x:f>
        <x:v>378.4605657116325</x:v>
      </x:c>
      <x:c r="AC27" s="33" t="n">
        <x:f>AB28*AC25</x:f>
        <x:v>424.3744647975856</x:v>
      </x:c>
      <x:c r="AD27" s="33" t="n">
        <x:f>AC28*AD25</x:f>
        <x:v>466.1561129658029</x:v>
      </x:c>
      <x:c r="AE27" s="33" t="n">
        <x:f>AD28*AE25</x:f>
        <x:v>504.17741279888065</x:v>
      </x:c>
      <x:c r="AF27" s="33" t="n">
        <x:f>AE28*AF25</x:f>
        <x:v>538.7767956469813</x:v>
      </x:c>
      <x:c r="AG27" s="33" t="n">
        <x:f>AF28*AG25</x:f>
        <x:v>570.262234038753</x:v>
      </x:c>
      <x:c r="AH27" s="33" t="n">
        <x:f>AG28*AH25</x:f>
        <x:v>605.4954553156529</x:v>
      </x:c>
      <x:c r="AI27" s="33" t="n">
        <x:f>AH28*AI25</x:f>
        <x:v>637.9100188904007</x:v>
      </x:c>
      <x:c r="AJ27" s="33" t="n">
        <x:f>AI28*AJ25</x:f>
        <x:v>809.3470173791686</x:v>
      </x:c>
      <x:c r="AK27" s="33" t="n">
        <x:f>AJ28*AK25</x:f>
        <x:v>967.0690559888352</x:v>
      </x:c>
      <x:c r="AL27" s="33" t="n">
        <x:f>AK28*AL25</x:f>
        <x:v>1112.1733315097283</x:v>
      </x:c>
      <x:c r="AM27" s="33" t="n">
        <x:f>AL28*AM25</x:f>
        <x:v>1245.66926498895</x:v>
      </x:c>
      <x:c r="AN27" s="33" t="n">
        <x:f>AM28*AN25</x:f>
        <x:v>1368.4855237898341</x:v>
      </x:c>
      <x:c r="AO27" s="33" t="n">
        <x:f>AN28*AO25</x:f>
        <x:v>1481.4764818866474</x:v>
      </x:c>
      <x:c r="AP27" s="33" t="n">
        <x:f>AO28*AP25</x:f>
        <x:v>1585.4281633357157</x:v>
      </x:c>
      <x:c r="AQ27" s="33" t="n">
        <x:f>AP28*AQ25</x:f>
        <x:v>1681.0637102688586</x:v>
      </x:c>
      <x:c r="AR27" s="33" t="n">
        <x:f>AQ28*AR25</x:f>
        <x:v>1769.04841344735</x:v>
      </x:c>
      <x:c r="AS27" s="33" t="n">
        <x:f>AR28*AS25</x:f>
        <x:v>1849.9943403715622</x:v>
      </x:c>
    </x:row>
    <x:row r="28" ht="23" customHeight="1">
      <x:c r="A28" s="2"/>
      <x:c r="B28" s="2"/>
      <x:c r="C28" s="2" t="str">
        <x:v>당월 리필 구매자(연간=연말)</x:v>
      </x:c>
      <x:c r="D28" s="2" t="str">
        <x:v>명</x:v>
      </x:c>
      <x:c r="E28" s="2"/>
      <x:c r="F28" s="33" t="n">
        <x:f>U28</x:f>
        <x:v>65.641747</x:v>
      </x:c>
      <x:c r="G28" s="33" t="n">
        <x:f>AG28</x:f>
        <x:v>658.147234038753</x:v>
      </x:c>
      <x:c r="H28" s="33" t="n">
        <x:f>AS28</x:f>
        <x:v>2091.809340371562</x:v>
      </x:c>
      <x:c r="I28" s="2"/>
      <x:c r="J28" s="33" t="n">
        <x:f>SUM(J26:J27)</x:f>
        <x:v>0</x:v>
      </x:c>
      <x:c r="K28" s="33" t="n">
        <x:f>SUM(K26:K27)</x:f>
        <x:v>0</x:v>
      </x:c>
      <x:c r="L28" s="33" t="n">
        <x:f>SUM(L26:L27)</x:f>
        <x:v>0</x:v>
      </x:c>
      <x:c r="M28" s="33" t="n">
        <x:f>SUM(M26:M27)</x:f>
        <x:v>0</x:v>
      </x:c>
      <x:c r="N28" s="33" t="n">
        <x:f>SUM(N26:N27)</x:f>
        <x:v>0</x:v>
      </x:c>
      <x:c r="O28" s="33" t="n">
        <x:f>SUM(O26:O27)</x:f>
        <x:v>0</x:v>
      </x:c>
      <x:c r="P28" s="33" t="n">
        <x:f>SUM(P26:P27)</x:f>
        <x:v>0</x:v>
      </x:c>
      <x:c r="Q28" s="33" t="n">
        <x:f>SUM(Q26:Q27)</x:f>
        <x:v>8.97</x:v>
      </x:c>
      <x:c r="R28" s="33" t="n">
        <x:f>SUM(R26:R27)</x:f>
        <x:v>21.643</x:v>
      </x:c>
      <x:c r="S28" s="33" t="n">
        <x:f>SUM(S26:S27)</x:f>
        <x:v>37.878699999999995</x:v>
      </x:c>
      <x:c r="T28" s="33" t="n">
        <x:f>SUM(T26:T27)</x:f>
        <x:v>52.490829999999995</x:v>
      </x:c>
      <x:c r="U28" s="33" t="n">
        <x:f>SUM(U26:U27)</x:f>
        <x:v>65.641747</x:v>
      </x:c>
      <x:c r="V28" s="33" t="n">
        <x:f>SUM(V26:V27)</x:f>
        <x:v>78.13398977</x:v>
      </x:c>
      <x:c r="W28" s="33" t="n">
        <x:f>SUM(W26:W27)</x:f>
        <x:v>158.98693069069998</x:v>
      </x:c>
      <x:c r="X28" s="33" t="n">
        <x:f>SUM(X26:X27)</x:f>
        <x:v>232.56310692853697</x:v>
      </x:c>
      <x:c r="Y28" s="33" t="n">
        <x:f>SUM(Y26:Y27)</x:f>
        <x:v>299.51742730496863</x:v>
      </x:c>
      <x:c r="Z28" s="33" t="n">
        <x:f>SUM(Z26:Z27)</x:f>
        <x:v>360.44585884752144</x:v>
      </x:c>
      <x:c r="AA28" s="33" t="n">
        <x:f>SUM(AA26:AA27)</x:f>
        <x:v>415.8907315512445</x:v>
      </x:c>
      <x:c r="AB28" s="33" t="n">
        <x:f>SUM(AB26:AB27)</x:f>
        <x:v>466.3455657116325</x:v>
      </x:c>
      <x:c r="AC28" s="33" t="n">
        <x:f>SUM(AC26:AC27)</x:f>
        <x:v>512.2594647975856</x:v>
      </x:c>
      <x:c r="AD28" s="33" t="n">
        <x:f>SUM(AD26:AD27)</x:f>
        <x:v>554.0411129658029</x:v>
      </x:c>
      <x:c r="AE28" s="33" t="n">
        <x:f>SUM(AE26:AE27)</x:f>
        <x:v>592.0624127988806</x:v>
      </x:c>
      <x:c r="AF28" s="33" t="n">
        <x:f>SUM(AF26:AF27)</x:f>
        <x:v>626.6617956469813</x:v>
      </x:c>
      <x:c r="AG28" s="33" t="n">
        <x:f>SUM(AG26:AG27)</x:f>
        <x:v>658.147234038753</x:v>
      </x:c>
      <x:c r="AH28" s="33" t="n">
        <x:f>SUM(AH26:AH27)</x:f>
        <x:v>693.3804553156529</x:v>
      </x:c>
      <x:c r="AI28" s="33" t="n">
        <x:f>SUM(AI26:AI27)</x:f>
        <x:v>879.7250188904006</x:v>
      </x:c>
      <x:c r="AJ28" s="33" t="n">
        <x:f>SUM(AJ26:AJ27)</x:f>
        <x:v>1051.1620173791687</x:v>
      </x:c>
      <x:c r="AK28" s="33" t="n">
        <x:f>SUM(AK26:AK27)</x:f>
        <x:v>1208.8840559888351</x:v>
      </x:c>
      <x:c r="AL28" s="33" t="n">
        <x:f>SUM(AL26:AL27)</x:f>
        <x:v>1353.9883315097284</x:v>
      </x:c>
      <x:c r="AM28" s="33" t="n">
        <x:f>SUM(AM26:AM27)</x:f>
        <x:v>1487.4842649889501</x:v>
      </x:c>
      <x:c r="AN28" s="33" t="n">
        <x:f>SUM(AN26:AN27)</x:f>
        <x:v>1610.3005237898342</x:v>
      </x:c>
      <x:c r="AO28" s="33" t="n">
        <x:f>SUM(AO26:AO27)</x:f>
        <x:v>1723.2914818866475</x:v>
      </x:c>
      <x:c r="AP28" s="33" t="n">
        <x:f>SUM(AP26:AP27)</x:f>
        <x:v>1827.2431633357157</x:v>
      </x:c>
      <x:c r="AQ28" s="33" t="n">
        <x:f>SUM(AQ26:AQ27)</x:f>
        <x:v>1922.8787102688586</x:v>
      </x:c>
      <x:c r="AR28" s="33" t="n">
        <x:f>SUM(AR26:AR27)</x:f>
        <x:v>2010.86341344735</x:v>
      </x:c>
      <x:c r="AS28" s="33" t="n">
        <x:f>SUM(AS26:AS27)</x:f>
        <x:v>2091.809340371562</x:v>
      </x:c>
    </x:row>
    <x:row r="29" ht="23" customHeight="1">
      <x:c r="A29" s="2"/>
      <x:c r="B29" s="2"/>
      <x:c r="C29" s="19" t="str">
        <x:v>리필 출고 주문</x:v>
      </x:c>
      <x:c r="D29" s="19" t="str">
        <x:v>팩</x:v>
      </x:c>
      <x:c r="E29" s="19"/>
      <x:c r="F29" s="21" t="n">
        <x:f>SUM(J29:U29)</x:f>
        <x:v>186.624277</x:v>
      </x:c>
      <x:c r="G29" s="21" t="n">
        <x:f>SUM(V29:AG29)</x:f>
        <x:v>4955.055631052607</x:v>
      </x:c>
      <x:c r="H29" s="21" t="n">
        <x:f>SUM(AH29:AS29)</x:f>
        <x:v>17861.0107771727</x:v>
      </x:c>
      <x:c r="I29" s="19"/>
      <x:c r="J29" s="42" t="n">
        <x:f>J28*'01_가정'!$F$94</x:f>
        <x:v>0</x:v>
      </x:c>
      <x:c r="K29" s="42" t="n">
        <x:f>K28*'01_가정'!$F$94</x:f>
        <x:v>0</x:v>
      </x:c>
      <x:c r="L29" s="42" t="n">
        <x:f>L28*'01_가정'!$F$94</x:f>
        <x:v>0</x:v>
      </x:c>
      <x:c r="M29" s="42" t="n">
        <x:f>M28*'01_가정'!$F$94</x:f>
        <x:v>0</x:v>
      </x:c>
      <x:c r="N29" s="42" t="n">
        <x:f>N28*'01_가정'!$F$94</x:f>
        <x:v>0</x:v>
      </x:c>
      <x:c r="O29" s="42" t="n">
        <x:f>O28*'01_가정'!$F$94</x:f>
        <x:v>0</x:v>
      </x:c>
      <x:c r="P29" s="42" t="n">
        <x:f>P28*'01_가정'!$F$94</x:f>
        <x:v>0</x:v>
      </x:c>
      <x:c r="Q29" s="42" t="n">
        <x:f>Q28*'01_가정'!$F$94</x:f>
        <x:v>8.97</x:v>
      </x:c>
      <x:c r="R29" s="42" t="n">
        <x:f>R28*'01_가정'!$F$94</x:f>
        <x:v>21.643</x:v>
      </x:c>
      <x:c r="S29" s="42" t="n">
        <x:f>S28*'01_가정'!$F$94</x:f>
        <x:v>37.878699999999995</x:v>
      </x:c>
      <x:c r="T29" s="42" t="n">
        <x:f>T28*'01_가정'!$F$94</x:f>
        <x:v>52.490829999999995</x:v>
      </x:c>
      <x:c r="U29" s="42" t="n">
        <x:f>U28*'01_가정'!$F$94</x:f>
        <x:v>65.641747</x:v>
      </x:c>
      <x:c r="V29" s="42" t="n">
        <x:f>V28*'01_가정'!$F$94</x:f>
        <x:v>78.13398977</x:v>
      </x:c>
      <x:c r="W29" s="42" t="n">
        <x:f>W28*'01_가정'!$F$94</x:f>
        <x:v>158.98693069069998</x:v>
      </x:c>
      <x:c r="X29" s="42" t="n">
        <x:f>X28*'01_가정'!$F$94</x:f>
        <x:v>232.56310692853697</x:v>
      </x:c>
      <x:c r="Y29" s="42" t="n">
        <x:f>Y28*'01_가정'!$F$94</x:f>
        <x:v>299.51742730496863</x:v>
      </x:c>
      <x:c r="Z29" s="42" t="n">
        <x:f>Z28*'01_가정'!$F$94</x:f>
        <x:v>360.44585884752144</x:v>
      </x:c>
      <x:c r="AA29" s="42" t="n">
        <x:f>AA28*'01_가정'!$F$94</x:f>
        <x:v>415.8907315512445</x:v>
      </x:c>
      <x:c r="AB29" s="42" t="n">
        <x:f>AB28*'01_가정'!$F$94</x:f>
        <x:v>466.3455657116325</x:v>
      </x:c>
      <x:c r="AC29" s="42" t="n">
        <x:f>AC28*'01_가정'!$F$94</x:f>
        <x:v>512.2594647975856</x:v>
      </x:c>
      <x:c r="AD29" s="42" t="n">
        <x:f>AD28*'01_가정'!$F$94</x:f>
        <x:v>554.0411129658029</x:v>
      </x:c>
      <x:c r="AE29" s="42" t="n">
        <x:f>AE28*'01_가정'!$F$94</x:f>
        <x:v>592.0624127988806</x:v>
      </x:c>
      <x:c r="AF29" s="42" t="n">
        <x:f>AF28*'01_가정'!$F$94</x:f>
        <x:v>626.6617956469813</x:v>
      </x:c>
      <x:c r="AG29" s="42" t="n">
        <x:f>AG28*'01_가정'!$F$94</x:f>
        <x:v>658.147234038753</x:v>
      </x:c>
      <x:c r="AH29" s="42" t="n">
        <x:f>AH28*'01_가정'!$F$94</x:f>
        <x:v>693.3804553156529</x:v>
      </x:c>
      <x:c r="AI29" s="42" t="n">
        <x:f>AI28*'01_가정'!$F$94</x:f>
        <x:v>879.7250188904006</x:v>
      </x:c>
      <x:c r="AJ29" s="42" t="n">
        <x:f>AJ28*'01_가정'!$F$94</x:f>
        <x:v>1051.1620173791687</x:v>
      </x:c>
      <x:c r="AK29" s="42" t="n">
        <x:f>AK28*'01_가정'!$F$94</x:f>
        <x:v>1208.8840559888351</x:v>
      </x:c>
      <x:c r="AL29" s="42" t="n">
        <x:f>AL28*'01_가정'!$F$94</x:f>
        <x:v>1353.9883315097284</x:v>
      </x:c>
      <x:c r="AM29" s="42" t="n">
        <x:f>AM28*'01_가정'!$F$94</x:f>
        <x:v>1487.4842649889501</x:v>
      </x:c>
      <x:c r="AN29" s="42" t="n">
        <x:f>AN28*'01_가정'!$F$94</x:f>
        <x:v>1610.3005237898342</x:v>
      </x:c>
      <x:c r="AO29" s="42" t="n">
        <x:f>AO28*'01_가정'!$F$94</x:f>
        <x:v>1723.2914818866475</x:v>
      </x:c>
      <x:c r="AP29" s="42" t="n">
        <x:f>AP28*'01_가정'!$F$94</x:f>
        <x:v>1827.2431633357157</x:v>
      </x:c>
      <x:c r="AQ29" s="42" t="n">
        <x:f>AQ28*'01_가정'!$F$94</x:f>
        <x:v>1922.8787102688586</x:v>
      </x:c>
      <x:c r="AR29" s="42" t="n">
        <x:f>AR28*'01_가정'!$F$94</x:f>
        <x:v>2010.86341344735</x:v>
      </x:c>
      <x:c r="AS29" s="42" t="n">
        <x:f>AS28*'01_가정'!$F$94</x:f>
        <x:v>2091.809340371562</x:v>
      </x:c>
    </x:row>
    <x:row r="30" ht="23" customHeight="1">
      <x:c r="A30" s="2"/>
      <x:c r="B30" s="2"/>
      <x:c r="C30" s="2" t="str">
        <x:v>DTC 본체 순매출</x:v>
      </x:c>
      <x:c r="D30" s="2" t="str">
        <x:v>원</x:v>
      </x:c>
      <x:c r="E30" s="2"/>
      <x:c r="F30" s="33" t="n">
        <x:f>SUM(J30:U30)</x:f>
        <x:v>52090400</x:v>
      </x:c>
      <x:c r="G30" s="33" t="n">
        <x:f>SUM(V30:AG30)</x:f>
        <x:v>476176909.09090894</x:v>
      </x:c>
      <x:c r="H30" s="33" t="n">
        <x:f>SUM(AH30:AS30)</x:f>
        <x:v>1123026545.4545457</x:v>
      </x:c>
      <x:c r="I30" s="2"/>
      <x:c r="J30" s="31" t="n">
        <x:f>J21*'01_가정'!F10/(1+'01_가정'!$F$85)</x:f>
        <x:v>0</x:v>
      </x:c>
      <x:c r="K30" s="31" t="n">
        <x:f>K21*'01_가정'!F10/(1+'01_가정'!$F$85)</x:f>
        <x:v>0</x:v>
      </x:c>
      <x:c r="L30" s="31" t="n">
        <x:f>L21*'01_가정'!F10/(1+'01_가정'!$F$85)</x:f>
        <x:v>0</x:v>
      </x:c>
      <x:c r="M30" s="31" t="n">
        <x:f>M21*'01_가정'!F10/(1+'01_가정'!$F$85)</x:f>
        <x:v>0</x:v>
      </x:c>
      <x:c r="N30" s="31" t="n">
        <x:f>N21*'01_가정'!F10/(1+'01_가정'!$F$85)</x:f>
        <x:v>0</x:v>
      </x:c>
      <x:c r="O30" s="31" t="n">
        <x:f>O21*'01_가정'!F10/(1+'01_가정'!$F$85)</x:f>
        <x:v>0</x:v>
      </x:c>
      <x:c r="P30" s="31" t="n">
        <x:f>P21*'01_가정'!F10/(1+'01_가정'!$F$85)</x:f>
        <x:v>4860109.090909091</x:v>
      </x:c>
      <x:c r="Q30" s="31" t="n">
        <x:f>Q21*'01_가정'!F10/(1+'01_가정'!$F$85)</x:f>
        <x:v>7352472.727272727</x:v>
      </x:c>
      <x:c r="R30" s="31" t="n">
        <x:f>R21*'01_가정'!F10/(1+'01_가정'!$F$85)</x:f>
        <x:v>9969454.545454545</x:v>
      </x:c>
      <x:c r="S30" s="31" t="n">
        <x:f>S21*'01_가정'!F10/(1+'01_가정'!$F$85)</x:f>
        <x:v>9969454.545454545</x:v>
      </x:c>
      <x:c r="T30" s="31" t="n">
        <x:f>T21*'01_가정'!F10/(1+'01_가정'!$F$85)</x:f>
        <x:v>9969454.545454545</x:v>
      </x:c>
      <x:c r="U30" s="31" t="n">
        <x:f>U21*'01_가정'!F10/(1+'01_가정'!$F$85)</x:f>
        <x:v>9969454.545454545</x:v>
      </x:c>
      <x:c r="V30" s="31" t="n">
        <x:f>V21*'01_가정'!G10/(1+'01_가정'!$F$85)</x:f>
        <x:v>39681409.090909086</x:v>
      </x:c>
      <x:c r="W30" s="31" t="n">
        <x:f>W21*'01_가정'!G10/(1+'01_가정'!$F$85)</x:f>
        <x:v>39681409.090909086</x:v>
      </x:c>
      <x:c r="X30" s="31" t="n">
        <x:f>X21*'01_가정'!G10/(1+'01_가정'!$F$85)</x:f>
        <x:v>39681409.090909086</x:v>
      </x:c>
      <x:c r="Y30" s="31" t="n">
        <x:f>Y21*'01_가정'!G10/(1+'01_가정'!$F$85)</x:f>
        <x:v>39681409.090909086</x:v>
      </x:c>
      <x:c r="Z30" s="31" t="n">
        <x:f>Z21*'01_가정'!G10/(1+'01_가정'!$F$85)</x:f>
        <x:v>39681409.090909086</x:v>
      </x:c>
      <x:c r="AA30" s="31" t="n">
        <x:f>AA21*'01_가정'!G10/(1+'01_가정'!$F$85)</x:f>
        <x:v>39681409.090909086</x:v>
      </x:c>
      <x:c r="AB30" s="31" t="n">
        <x:f>AB21*'01_가정'!G10/(1+'01_가정'!$F$85)</x:f>
        <x:v>39681409.090909086</x:v>
      </x:c>
      <x:c r="AC30" s="31" t="n">
        <x:f>AC21*'01_가정'!G10/(1+'01_가정'!$F$85)</x:f>
        <x:v>39681409.090909086</x:v>
      </x:c>
      <x:c r="AD30" s="31" t="n">
        <x:f>AD21*'01_가정'!G10/(1+'01_가정'!$F$85)</x:f>
        <x:v>39681409.090909086</x:v>
      </x:c>
      <x:c r="AE30" s="31" t="n">
        <x:f>AE21*'01_가정'!G10/(1+'01_가정'!$F$85)</x:f>
        <x:v>39681409.090909086</x:v>
      </x:c>
      <x:c r="AF30" s="31" t="n">
        <x:f>AF21*'01_가정'!G10/(1+'01_가정'!$F$85)</x:f>
        <x:v>39681409.090909086</x:v>
      </x:c>
      <x:c r="AG30" s="31" t="n">
        <x:f>AG21*'01_가정'!G10/(1+'01_가정'!$F$85)</x:f>
        <x:v>39681409.090909086</x:v>
      </x:c>
      <x:c r="AH30" s="31" t="n">
        <x:f>AH21*'01_가정'!H10/(1+'01_가정'!$F$85)</x:f>
        <x:v>93585545.45454545</x:v>
      </x:c>
      <x:c r="AI30" s="31" t="n">
        <x:f>AI21*'01_가정'!H10/(1+'01_가정'!$F$85)</x:f>
        <x:v>93585545.45454545</x:v>
      </x:c>
      <x:c r="AJ30" s="31" t="n">
        <x:f>AJ21*'01_가정'!H10/(1+'01_가정'!$F$85)</x:f>
        <x:v>93585545.45454545</x:v>
      </x:c>
      <x:c r="AK30" s="31" t="n">
        <x:f>AK21*'01_가정'!H10/(1+'01_가정'!$F$85)</x:f>
        <x:v>93585545.45454545</x:v>
      </x:c>
      <x:c r="AL30" s="31" t="n">
        <x:f>AL21*'01_가정'!H10/(1+'01_가정'!$F$85)</x:f>
        <x:v>93585545.45454545</x:v>
      </x:c>
      <x:c r="AM30" s="31" t="n">
        <x:f>AM21*'01_가정'!H10/(1+'01_가정'!$F$85)</x:f>
        <x:v>93585545.45454545</x:v>
      </x:c>
      <x:c r="AN30" s="31" t="n">
        <x:f>AN21*'01_가정'!H10/(1+'01_가정'!$F$85)</x:f>
        <x:v>93585545.45454545</x:v>
      </x:c>
      <x:c r="AO30" s="31" t="n">
        <x:f>AO21*'01_가정'!H10/(1+'01_가정'!$F$85)</x:f>
        <x:v>93585545.45454545</x:v>
      </x:c>
      <x:c r="AP30" s="31" t="n">
        <x:f>AP21*'01_가정'!H10/(1+'01_가정'!$F$85)</x:f>
        <x:v>93585545.45454545</x:v>
      </x:c>
      <x:c r="AQ30" s="31" t="n">
        <x:f>AQ21*'01_가정'!H10/(1+'01_가정'!$F$85)</x:f>
        <x:v>93585545.45454545</x:v>
      </x:c>
      <x:c r="AR30" s="31" t="n">
        <x:f>AR21*'01_가정'!H10/(1+'01_가정'!$F$85)</x:f>
        <x:v>93585545.45454545</x:v>
      </x:c>
      <x:c r="AS30" s="31" t="n">
        <x:f>AS21*'01_가정'!H10/(1+'01_가정'!$F$85)</x:f>
        <x:v>93585545.45454545</x:v>
      </x:c>
    </x:row>
    <x:row r="31" ht="23" customHeight="1">
      <x:c r="A31" s="2"/>
      <x:c r="B31" s="2"/>
      <x:c r="C31" s="2" t="str">
        <x:v>리테일 본체 순매출</x:v>
      </x:c>
      <x:c r="D31" s="2" t="str">
        <x:v>원</x:v>
      </x:c>
      <x:c r="E31" s="2"/>
      <x:c r="F31" s="33" t="n">
        <x:f>SUM(J31:U31)</x:f>
        <x:v>0</x:v>
      </x:c>
      <x:c r="G31" s="33" t="n">
        <x:f>SUM(V31:AG31)</x:f>
        <x:v>0</x:v>
      </x:c>
      <x:c r="H31" s="33" t="n">
        <x:f>SUM(AH31:AS31)</x:f>
        <x:v>0</x:v>
      </x:c>
      <x:c r="I31" s="2"/>
      <x:c r="J31" s="31" t="n">
        <x:f>(J18-J22)*'01_가정'!F10/(1+'01_가정'!$F$85)*'01_가정'!F54</x:f>
        <x:v>0</x:v>
      </x:c>
      <x:c r="K31" s="31" t="n">
        <x:f>(K18-K22)*'01_가정'!F10/(1+'01_가정'!$F$85)*'01_가정'!F54</x:f>
        <x:v>0</x:v>
      </x:c>
      <x:c r="L31" s="31" t="n">
        <x:f>(L18-L22)*'01_가정'!F10/(1+'01_가정'!$F$85)*'01_가정'!F54</x:f>
        <x:v>0</x:v>
      </x:c>
      <x:c r="M31" s="31" t="n">
        <x:f>(M18-M22)*'01_가정'!F10/(1+'01_가정'!$F$85)*'01_가정'!F54</x:f>
        <x:v>0</x:v>
      </x:c>
      <x:c r="N31" s="31" t="n">
        <x:f>(N18-N22)*'01_가정'!F10/(1+'01_가정'!$F$85)*'01_가정'!F54</x:f>
        <x:v>0</x:v>
      </x:c>
      <x:c r="O31" s="31" t="n">
        <x:f>(O18-O22)*'01_가정'!F10/(1+'01_가정'!$F$85)*'01_가정'!F54</x:f>
        <x:v>0</x:v>
      </x:c>
      <x:c r="P31" s="31" t="n">
        <x:f>(P18-P22)*'01_가정'!F10/(1+'01_가정'!$F$85)*'01_가정'!F54</x:f>
        <x:v>0</x:v>
      </x:c>
      <x:c r="Q31" s="31" t="n">
        <x:f>(Q18-Q22)*'01_가정'!F10/(1+'01_가정'!$F$85)*'01_가정'!F54</x:f>
        <x:v>0</x:v>
      </x:c>
      <x:c r="R31" s="31" t="n">
        <x:f>(R18-R22)*'01_가정'!F10/(1+'01_가정'!$F$85)*'01_가정'!F54</x:f>
        <x:v>0</x:v>
      </x:c>
      <x:c r="S31" s="31" t="n">
        <x:f>(S18-S22)*'01_가정'!F10/(1+'01_가정'!$F$85)*'01_가정'!F54</x:f>
        <x:v>0</x:v>
      </x:c>
      <x:c r="T31" s="31" t="n">
        <x:f>(T18-T22)*'01_가정'!F10/(1+'01_가정'!$F$85)*'01_가정'!F54</x:f>
        <x:v>0</x:v>
      </x:c>
      <x:c r="U31" s="31" t="n">
        <x:f>(U18-U22)*'01_가정'!F10/(1+'01_가정'!$F$85)*'01_가정'!F54</x:f>
        <x:v>0</x:v>
      </x:c>
      <x:c r="V31" s="31" t="n">
        <x:f>(V18-V22)*'01_가정'!G10/(1+'01_가정'!$F$85)*'01_가정'!G54</x:f>
        <x:v>0</x:v>
      </x:c>
      <x:c r="W31" s="31" t="n">
        <x:f>(W18-W22)*'01_가정'!G10/(1+'01_가정'!$F$85)*'01_가정'!G54</x:f>
        <x:v>0</x:v>
      </x:c>
      <x:c r="X31" s="31" t="n">
        <x:f>(X18-X22)*'01_가정'!G10/(1+'01_가정'!$F$85)*'01_가정'!G54</x:f>
        <x:v>0</x:v>
      </x:c>
      <x:c r="Y31" s="31" t="n">
        <x:f>(Y18-Y22)*'01_가정'!G10/(1+'01_가정'!$F$85)*'01_가정'!G54</x:f>
        <x:v>0</x:v>
      </x:c>
      <x:c r="Z31" s="31" t="n">
        <x:f>(Z18-Z22)*'01_가정'!G10/(1+'01_가정'!$F$85)*'01_가정'!G54</x:f>
        <x:v>0</x:v>
      </x:c>
      <x:c r="AA31" s="31" t="n">
        <x:f>(AA18-AA22)*'01_가정'!G10/(1+'01_가정'!$F$85)*'01_가정'!G54</x:f>
        <x:v>0</x:v>
      </x:c>
      <x:c r="AB31" s="31" t="n">
        <x:f>(AB18-AB22)*'01_가정'!G10/(1+'01_가정'!$F$85)*'01_가정'!G54</x:f>
        <x:v>0</x:v>
      </x:c>
      <x:c r="AC31" s="31" t="n">
        <x:f>(AC18-AC22)*'01_가정'!G10/(1+'01_가정'!$F$85)*'01_가정'!G54</x:f>
        <x:v>0</x:v>
      </x:c>
      <x:c r="AD31" s="31" t="n">
        <x:f>(AD18-AD22)*'01_가정'!G10/(1+'01_가정'!$F$85)*'01_가정'!G54</x:f>
        <x:v>0</x:v>
      </x:c>
      <x:c r="AE31" s="31" t="n">
        <x:f>(AE18-AE22)*'01_가정'!G10/(1+'01_가정'!$F$85)*'01_가정'!G54</x:f>
        <x:v>0</x:v>
      </x:c>
      <x:c r="AF31" s="31" t="n">
        <x:f>(AF18-AF22)*'01_가정'!G10/(1+'01_가정'!$F$85)*'01_가정'!G54</x:f>
        <x:v>0</x:v>
      </x:c>
      <x:c r="AG31" s="31" t="n">
        <x:f>(AG18-AG22)*'01_가정'!G10/(1+'01_가정'!$F$85)*'01_가정'!G54</x:f>
        <x:v>0</x:v>
      </x:c>
      <x:c r="AH31" s="31" t="n">
        <x:f>(AH18-AH22)*'01_가정'!H10/(1+'01_가정'!$F$85)*'01_가정'!H54</x:f>
        <x:v>0</x:v>
      </x:c>
      <x:c r="AI31" s="31" t="n">
        <x:f>(AI18-AI22)*'01_가정'!H10/(1+'01_가정'!$F$85)*'01_가정'!H54</x:f>
        <x:v>0</x:v>
      </x:c>
      <x:c r="AJ31" s="31" t="n">
        <x:f>(AJ18-AJ22)*'01_가정'!H10/(1+'01_가정'!$F$85)*'01_가정'!H54</x:f>
        <x:v>0</x:v>
      </x:c>
      <x:c r="AK31" s="31" t="n">
        <x:f>(AK18-AK22)*'01_가정'!H10/(1+'01_가정'!$F$85)*'01_가정'!H54</x:f>
        <x:v>0</x:v>
      </x:c>
      <x:c r="AL31" s="31" t="n">
        <x:f>(AL18-AL22)*'01_가정'!H10/(1+'01_가정'!$F$85)*'01_가정'!H54</x:f>
        <x:v>0</x:v>
      </x:c>
      <x:c r="AM31" s="31" t="n">
        <x:f>(AM18-AM22)*'01_가정'!H10/(1+'01_가정'!$F$85)*'01_가정'!H54</x:f>
        <x:v>0</x:v>
      </x:c>
      <x:c r="AN31" s="31" t="n">
        <x:f>(AN18-AN22)*'01_가정'!H10/(1+'01_가정'!$F$85)*'01_가정'!H54</x:f>
        <x:v>0</x:v>
      </x:c>
      <x:c r="AO31" s="31" t="n">
        <x:f>(AO18-AO22)*'01_가정'!H10/(1+'01_가정'!$F$85)*'01_가정'!H54</x:f>
        <x:v>0</x:v>
      </x:c>
      <x:c r="AP31" s="31" t="n">
        <x:f>(AP18-AP22)*'01_가정'!H10/(1+'01_가정'!$F$85)*'01_가정'!H54</x:f>
        <x:v>0</x:v>
      </x:c>
      <x:c r="AQ31" s="31" t="n">
        <x:f>(AQ18-AQ22)*'01_가정'!H10/(1+'01_가정'!$F$85)*'01_가정'!H54</x:f>
        <x:v>0</x:v>
      </x:c>
      <x:c r="AR31" s="31" t="n">
        <x:f>(AR18-AR22)*'01_가정'!H10/(1+'01_가정'!$F$85)*'01_가정'!H54</x:f>
        <x:v>0</x:v>
      </x:c>
      <x:c r="AS31" s="31" t="n">
        <x:f>(AS18-AS22)*'01_가정'!H10/(1+'01_가정'!$F$85)*'01_가정'!H54</x:f>
        <x:v>0</x:v>
      </x:c>
    </x:row>
    <x:row r="32" ht="23" customHeight="1">
      <x:c r="A32" s="2"/>
      <x:c r="B32" s="2"/>
      <x:c r="C32" s="2" t="str">
        <x:v>리필 순매출</x:v>
      </x:c>
      <x:c r="D32" s="2" t="str">
        <x:v>원</x:v>
      </x:c>
      <x:c r="E32" s="2"/>
      <x:c r="F32" s="33" t="n">
        <x:f>SUM(J32:U32)</x:f>
        <x:v>2144821.918030909</x:v>
      </x:c>
      <x:c r="G32" s="33" t="n">
        <x:f>SUM(V32:AG32)</x:f>
        <x:v>56947102.988879144</x:v>
      </x:c>
      <x:c r="H32" s="33" t="n">
        <x:f>SUM(AH32:AS32)</x:f>
        <x:v>205271725.67728844</x:v>
      </x:c>
      <x:c r="I32" s="2"/>
      <x:c r="J32" s="31" t="n">
        <x:f>J29*'02_단위경제'!F44</x:f>
        <x:v>0</x:v>
      </x:c>
      <x:c r="K32" s="31" t="n">
        <x:f>K29*'02_단위경제'!F44</x:f>
        <x:v>0</x:v>
      </x:c>
      <x:c r="L32" s="31" t="n">
        <x:f>L29*'02_단위경제'!F44</x:f>
        <x:v>0</x:v>
      </x:c>
      <x:c r="M32" s="31" t="n">
        <x:f>M29*'02_단위경제'!F44</x:f>
        <x:v>0</x:v>
      </x:c>
      <x:c r="N32" s="31" t="n">
        <x:f>N29*'02_단위경제'!F44</x:f>
        <x:v>0</x:v>
      </x:c>
      <x:c r="O32" s="31" t="n">
        <x:f>O29*'02_단위경제'!F44</x:f>
        <x:v>0</x:v>
      </x:c>
      <x:c r="P32" s="31" t="n">
        <x:f>P29*'02_단위경제'!F44</x:f>
        <x:v>0</x:v>
      </x:c>
      <x:c r="Q32" s="31" t="n">
        <x:f>Q29*'02_단위경제'!F44</x:f>
        <x:v>103089.76363636364</x:v>
      </x:c>
      <x:c r="R32" s="31" t="n">
        <x:f>R29*'02_단위경제'!F44</x:f>
        <x:v>248737.09636363634</x:v>
      </x:c>
      <x:c r="S32" s="31" t="n">
        <x:f>S29*'02_단위경제'!F44</x:f>
        <x:v>435329.5685454545</x:v>
      </x:c>
      <x:c r="T32" s="31" t="n">
        <x:f>T29*'02_단위경제'!F44</x:f>
        <x:v>603262.7935090908</x:v>
      </x:c>
      <x:c r="U32" s="31" t="n">
        <x:f>U29*'02_단위경제'!F44</x:f>
        <x:v>754402.6959763635</x:v>
      </x:c>
      <x:c r="V32" s="31" t="n">
        <x:f>V29*'02_단위경제'!G44</x:f>
        <x:v>897972.6351566727</x:v>
      </x:c>
      <x:c r="W32" s="31" t="n">
        <x:f>W29*'02_단위경제'!G44</x:f>
        <x:v>1827193.4343562082</x:v>
      </x:c>
      <x:c r="X32" s="31" t="n">
        <x:f>X29*'02_단위경제'!G44</x:f>
        <x:v>2672784.3616277855</x:v>
      </x:c>
      <x:c r="Y32" s="31" t="n">
        <x:f>Y29*'02_단위경제'!G44</x:f>
        <x:v>3442272.105444921</x:v>
      </x:c>
      <x:c r="Z32" s="31" t="n">
        <x:f>Z29*'02_단위경제'!G44</x:f>
        <x:v>4142505.952318514</x:v>
      </x:c>
      <x:c r="AA32" s="31" t="n">
        <x:f>AA29*'02_단위경제'!G44</x:f>
        <x:v>4779718.752973485</x:v>
      </x:c>
      <x:c r="AB32" s="31" t="n">
        <x:f>AB29*'02_단위경제'!G44</x:f>
        <x:v>5359582.401569507</x:v>
      </x:c>
      <x:c r="AC32" s="31" t="n">
        <x:f>AC29*'02_단위경제'!G44</x:f>
        <x:v>5887258.321791887</x:v>
      </x:c>
      <x:c r="AD32" s="31" t="n">
        <x:f>AD29*'02_단위경제'!G44</x:f>
        <x:v>6367443.409194254</x:v>
      </x:c>
      <x:c r="AE32" s="31" t="n">
        <x:f>AE29*'02_단위경제'!G44</x:f>
        <x:v>6804411.838730407</x:v>
      </x:c>
      <x:c r="AF32" s="31" t="n">
        <x:f>AF29*'02_단위경제'!G44</x:f>
        <x:v>7202053.109608307</x:v>
      </x:c>
      <x:c r="AG32" s="31" t="n">
        <x:f>AG29*'02_단위경제'!G44</x:f>
        <x:v>7563906.666107195</x:v>
      </x:c>
      <x:c r="AH32" s="31" t="n">
        <x:f>AH29*'02_단위경제'!H44</x:f>
        <x:v>7968832.469182258</x:v>
      </x:c>
      <x:c r="AI32" s="31" t="n">
        <x:f>AI29*'02_단위경제'!H44</x:f>
        <x:v>10110439.717102222</x:v>
      </x:c>
      <x:c r="AJ32" s="31" t="n">
        <x:f>AJ29*'02_단위경제'!H44</x:f>
        <x:v>12080718.38518859</x:v>
      </x:c>
      <x:c r="AK32" s="31" t="n">
        <x:f>AK29*'02_단위경제'!H44</x:f>
        <x:v>13893374.759828048</x:v>
      </x:c>
      <x:c r="AL32" s="31" t="n">
        <x:f>AL29*'02_단위경제'!H44</x:f>
        <x:v>15561018.62449635</x:v>
      </x:c>
      <x:c r="AM32" s="31" t="n">
        <x:f>AM29*'02_단위경제'!H44</x:f>
        <x:v>17095250.979991186</x:v>
      </x:c>
      <x:c r="AN32" s="31" t="n">
        <x:f>AN29*'02_단위경제'!H44</x:f>
        <x:v>18506744.747046437</x:v>
      </x:c>
      <x:c r="AO32" s="31" t="n">
        <x:f>AO29*'02_단위경제'!H44</x:f>
        <x:v>19805319.01273727</x:v>
      </x:c>
      <x:c r="AP32" s="31" t="n">
        <x:f>AP29*'02_단위경제'!H44</x:f>
        <x:v>21000007.337172832</x:v>
      </x:c>
      <x:c r="AQ32" s="31" t="n">
        <x:f>AQ29*'02_단위경제'!H44</x:f>
        <x:v>22099120.595653553</x:v>
      </x:c>
      <x:c r="AR32" s="31" t="n">
        <x:f>AR29*'02_단위경제'!H44</x:f>
        <x:v>23110304.793455817</x:v>
      </x:c>
      <x:c r="AS32" s="31" t="n">
        <x:f>AS29*'02_단위경제'!H44</x:f>
        <x:v>24040594.255433895</x:v>
      </x:c>
    </x:row>
    <x:row r="33" ht="23" customHeight="1">
      <x:c r="A33" s="2"/>
      <x:c r="B33" s="2"/>
      <x:c r="C33" s="19" t="str">
        <x:v>총 순매출</x:v>
      </x:c>
      <x:c r="D33" s="19" t="str">
        <x:v>원</x:v>
      </x:c>
      <x:c r="E33" s="19"/>
      <x:c r="F33" s="21" t="n">
        <x:f>SUM(J33:U33)</x:f>
        <x:v>54235221.9180309</x:v>
      </x:c>
      <x:c r="G33" s="21" t="n">
        <x:f>SUM(V33:AG33)</x:f>
        <x:v>533124012.07978827</x:v>
      </x:c>
      <x:c r="H33" s="21" t="n">
        <x:f>SUM(AH33:AS33)</x:f>
        <x:v>1328298271.1318338</x:v>
      </x:c>
      <x:c r="I33" s="19"/>
      <x:c r="J33" s="21" t="n">
        <x:f>SUM(J30:J32)</x:f>
        <x:v>0</x:v>
      </x:c>
      <x:c r="K33" s="21" t="n">
        <x:f>SUM(K30:K32)</x:f>
        <x:v>0</x:v>
      </x:c>
      <x:c r="L33" s="21" t="n">
        <x:f>SUM(L30:L32)</x:f>
        <x:v>0</x:v>
      </x:c>
      <x:c r="M33" s="21" t="n">
        <x:f>SUM(M30:M32)</x:f>
        <x:v>0</x:v>
      </x:c>
      <x:c r="N33" s="21" t="n">
        <x:f>SUM(N30:N32)</x:f>
        <x:v>0</x:v>
      </x:c>
      <x:c r="O33" s="21" t="n">
        <x:f>SUM(O30:O32)</x:f>
        <x:v>0</x:v>
      </x:c>
      <x:c r="P33" s="21" t="n">
        <x:f>SUM(P30:P32)</x:f>
        <x:v>4860109.090909091</x:v>
      </x:c>
      <x:c r="Q33" s="21" t="n">
        <x:f>SUM(Q30:Q32)</x:f>
        <x:v>7455562.49090909</x:v>
      </x:c>
      <x:c r="R33" s="21" t="n">
        <x:f>SUM(R30:R32)</x:f>
        <x:v>10218191.64181818</x:v>
      </x:c>
      <x:c r="S33" s="21" t="n">
        <x:f>SUM(S30:S32)</x:f>
        <x:v>10404784.114</x:v>
      </x:c>
      <x:c r="T33" s="21" t="n">
        <x:f>SUM(T30:T32)</x:f>
        <x:v>10572717.338963635</x:v>
      </x:c>
      <x:c r="U33" s="21" t="n">
        <x:f>SUM(U30:U32)</x:f>
        <x:v>10723857.241430908</x:v>
      </x:c>
      <x:c r="V33" s="21" t="n">
        <x:f>SUM(V30:V32)</x:f>
        <x:v>40579381.72606576</x:v>
      </x:c>
      <x:c r="W33" s="21" t="n">
        <x:f>SUM(W30:W32)</x:f>
        <x:v>41508602.52526529</x:v>
      </x:c>
      <x:c r="X33" s="21" t="n">
        <x:f>SUM(X30:X32)</x:f>
        <x:v>42354193.45253687</x:v>
      </x:c>
      <x:c r="Y33" s="21" t="n">
        <x:f>SUM(Y30:Y32)</x:f>
        <x:v>43123681.19635401</x:v>
      </x:c>
      <x:c r="Z33" s="21" t="n">
        <x:f>SUM(Z30:Z32)</x:f>
        <x:v>43823915.0432276</x:v>
      </x:c>
      <x:c r="AA33" s="21" t="n">
        <x:f>SUM(AA30:AA32)</x:f>
        <x:v>44461127.84388257</x:v>
      </x:c>
      <x:c r="AB33" s="21" t="n">
        <x:f>SUM(AB30:AB32)</x:f>
        <x:v>45040991.492478594</x:v>
      </x:c>
      <x:c r="AC33" s="21" t="n">
        <x:f>SUM(AC30:AC32)</x:f>
        <x:v>45568667.41270097</x:v>
      </x:c>
      <x:c r="AD33" s="21" t="n">
        <x:f>SUM(AD30:AD32)</x:f>
        <x:v>46048852.50010334</x:v>
      </x:c>
      <x:c r="AE33" s="21" t="n">
        <x:f>SUM(AE30:AE32)</x:f>
        <x:v>46485820.929639496</x:v>
      </x:c>
      <x:c r="AF33" s="21" t="n">
        <x:f>SUM(AF30:AF32)</x:f>
        <x:v>46883462.20051739</x:v>
      </x:c>
      <x:c r="AG33" s="21" t="n">
        <x:f>SUM(AG30:AG32)</x:f>
        <x:v>47245315.75701628</x:v>
      </x:c>
      <x:c r="AH33" s="21" t="n">
        <x:f>SUM(AH30:AH32)</x:f>
        <x:v>101554377.9237277</x:v>
      </x:c>
      <x:c r="AI33" s="21" t="n">
        <x:f>SUM(AI30:AI32)</x:f>
        <x:v>103695985.17164767</x:v>
      </x:c>
      <x:c r="AJ33" s="21" t="n">
        <x:f>SUM(AJ30:AJ32)</x:f>
        <x:v>105666263.83973405</x:v>
      </x:c>
      <x:c r="AK33" s="21" t="n">
        <x:f>SUM(AK30:AK32)</x:f>
        <x:v>107478920.2143735</x:v>
      </x:c>
      <x:c r="AL33" s="21" t="n">
        <x:f>SUM(AL30:AL32)</x:f>
        <x:v>109146564.07904181</x:v>
      </x:c>
      <x:c r="AM33" s="21" t="n">
        <x:f>SUM(AM30:AM32)</x:f>
        <x:v>110680796.43453664</x:v>
      </x:c>
      <x:c r="AN33" s="21" t="n">
        <x:f>SUM(AN30:AN32)</x:f>
        <x:v>112092290.2015919</x:v>
      </x:c>
      <x:c r="AO33" s="21" t="n">
        <x:f>SUM(AO30:AO32)</x:f>
        <x:v>113390864.46728273</x:v>
      </x:c>
      <x:c r="AP33" s="21" t="n">
        <x:f>SUM(AP30:AP32)</x:f>
        <x:v>114585552.79171829</x:v>
      </x:c>
      <x:c r="AQ33" s="21" t="n">
        <x:f>SUM(AQ30:AQ32)</x:f>
        <x:v>115684666.050199</x:v>
      </x:c>
      <x:c r="AR33" s="21" t="n">
        <x:f>SUM(AR30:AR32)</x:f>
        <x:v>116695850.24800128</x:v>
      </x:c>
      <x:c r="AS33" s="21" t="n">
        <x:f>SUM(AS30:AS32)</x:f>
        <x:v>117626139.70997936</x:v>
      </x:c>
    </x:row>
    <x:row r="34" ht="23" customHeight="1">
      <x:c r="A34" s="2"/>
      <x:c r="B34" s="2"/>
      <x:c r="C34" s="2" t="str">
        <x:v>본체 매출원가</x:v>
      </x:c>
      <x:c r="D34" s="2" t="str">
        <x:v>원</x:v>
      </x:c>
      <x:c r="E34" s="2"/>
      <x:c r="F34" s="33" t="n">
        <x:f>SUM(J34:U34)</x:f>
        <x:v>22990000</x:v>
      </x:c>
      <x:c r="G34" s="33" t="n">
        <x:f>SUM(V34:AG34)</x:f>
        <x:v>189907802.6622896</x:v>
      </x:c>
      <x:c r="H34" s="33" t="n">
        <x:f>SUM(AH34:AS34)</x:f>
        <x:v>406930065.7799834</x:v>
      </x:c>
      <x:c r="I34" s="2"/>
      <x:c r="J34" s="31" t="n">
        <x:f>'04_재고현금'!J16</x:f>
        <x:v>0</x:v>
      </x:c>
      <x:c r="K34" s="31" t="n">
        <x:f>'04_재고현금'!K16</x:f>
        <x:v>0</x:v>
      </x:c>
      <x:c r="L34" s="31" t="n">
        <x:f>'04_재고현금'!L16</x:f>
        <x:v>0</x:v>
      </x:c>
      <x:c r="M34" s="31" t="n">
        <x:f>'04_재고현금'!M16</x:f>
        <x:v>0</x:v>
      </x:c>
      <x:c r="N34" s="31" t="n">
        <x:f>'04_재고현금'!N16</x:f>
        <x:v>0</x:v>
      </x:c>
      <x:c r="O34" s="31" t="n">
        <x:f>'04_재고현금'!O16</x:f>
        <x:v>0</x:v>
      </x:c>
      <x:c r="P34" s="31" t="n">
        <x:f>'04_재고현금'!P16</x:f>
        <x:v>2145000</x:v>
      </x:c>
      <x:c r="Q34" s="31" t="n">
        <x:f>'04_재고현금'!Q16</x:f>
        <x:v>3245000</x:v>
      </x:c>
      <x:c r="R34" s="31" t="n">
        <x:f>'04_재고현금'!R16</x:f>
        <x:v>4400000</x:v>
      </x:c>
      <x:c r="S34" s="31" t="n">
        <x:f>'04_재고현금'!S16</x:f>
        <x:v>4400000</x:v>
      </x:c>
      <x:c r="T34" s="31" t="n">
        <x:f>'04_재고현금'!T16</x:f>
        <x:v>4400000</x:v>
      </x:c>
      <x:c r="U34" s="31" t="n">
        <x:f>'04_재고현금'!U16</x:f>
        <x:v>4400000</x:v>
      </x:c>
      <x:c r="V34" s="31" t="n">
        <x:f>'04_재고현금'!V16</x:f>
        <x:v>16014926.06284658</x:v>
      </x:c>
      <x:c r="W34" s="31" t="n">
        <x:f>'04_재고현금'!W16</x:f>
        <x:v>16014926.06284658</x:v>
      </x:c>
      <x:c r="X34" s="31" t="n">
        <x:f>'04_재고현금'!X16</x:f>
        <x:v>16014926.062846584</x:v>
      </x:c>
      <x:c r="Y34" s="31" t="n">
        <x:f>'04_재고현금'!Y16</x:f>
        <x:v>15777146.500082258</x:v>
      </x:c>
      <x:c r="Z34" s="31" t="n">
        <x:f>'04_재고현금'!Z16</x:f>
        <x:v>15777146.500082262</x:v>
      </x:c>
      <x:c r="AA34" s="31" t="n">
        <x:f>'04_재고현금'!AA16</x:f>
        <x:v>15777146.500082262</x:v>
      </x:c>
      <x:c r="AB34" s="31" t="n">
        <x:f>'04_재고현금'!AB16</x:f>
        <x:v>15758236.399405763</x:v>
      </x:c>
      <x:c r="AC34" s="31" t="n">
        <x:f>'04_재고현금'!AC16</x:f>
        <x:v>15758236.399405764</x:v>
      </x:c>
      <x:c r="AD34" s="31" t="n">
        <x:f>'04_재고현금'!AD16</x:f>
        <x:v>15758236.399405764</x:v>
      </x:c>
      <x:c r="AE34" s="31" t="n">
        <x:f>'04_재고현금'!AE16</x:f>
        <x:v>15752291.925095268</x:v>
      </x:c>
      <x:c r="AF34" s="31" t="n">
        <x:f>'04_재고현금'!AF16</x:f>
        <x:v>15752291.925095268</x:v>
      </x:c>
      <x:c r="AG34" s="31" t="n">
        <x:f>'04_재고현금'!AG16</x:f>
        <x:v>15752291.92509527</x:v>
      </x:c>
      <x:c r="AH34" s="31" t="n">
        <x:f>'04_재고현금'!AH16</x:f>
        <x:v>34180314.33939098</x:v>
      </x:c>
      <x:c r="AI34" s="31" t="n">
        <x:f>'04_재고현금'!AI16</x:f>
        <x:v>34180314.33939098</x:v>
      </x:c>
      <x:c r="AJ34" s="31" t="n">
        <x:f>'04_재고현금'!AJ16</x:f>
        <x:v>34180314.33939098</x:v>
      </x:c>
      <x:c r="AK34" s="31" t="n">
        <x:f>'04_재고현금'!AK16</x:f>
        <x:v>33838090.8451521</x:v>
      </x:c>
      <x:c r="AL34" s="31" t="n">
        <x:f>'04_재고현금'!AL16</x:f>
        <x:v>33838090.84515211</x:v>
      </x:c>
      <x:c r="AM34" s="31" t="n">
        <x:f>'04_재고현금'!AM16</x:f>
        <x:v>33838090.84515212</x:v>
      </x:c>
      <x:c r="AN34" s="31" t="n">
        <x:f>'04_재고현금'!AN16</x:f>
        <x:v>33814418.78463067</x:v>
      </x:c>
      <x:c r="AO34" s="31" t="n">
        <x:f>'04_재고현금'!AO16</x:f>
        <x:v>33814418.78463067</x:v>
      </x:c>
      <x:c r="AP34" s="31" t="n">
        <x:f>'04_재고현금'!AP16</x:f>
        <x:v>33814418.78463067</x:v>
      </x:c>
      <x:c r="AQ34" s="31" t="n">
        <x:f>'04_재고현금'!AQ16</x:f>
        <x:v>33810531.290820695</x:v>
      </x:c>
      <x:c r="AR34" s="31" t="n">
        <x:f>'04_재고현금'!AR16</x:f>
        <x:v>33810531.290820695</x:v>
      </x:c>
      <x:c r="AS34" s="31" t="n">
        <x:f>'04_재고현금'!AS16</x:f>
        <x:v>33810531.290820695</x:v>
      </x:c>
    </x:row>
    <x:row r="35" ht="23" customHeight="1">
      <x:c r="A35" s="2"/>
      <x:c r="B35" s="2"/>
      <x:c r="C35" s="2" t="str">
        <x:v>리필 매출원가</x:v>
      </x:c>
      <x:c r="D35" s="2" t="str">
        <x:v>원</x:v>
      </x:c>
      <x:c r="E35" s="2"/>
      <x:c r="F35" s="33" t="n">
        <x:f>SUM(J35:U35)</x:f>
        <x:v>653184.9695</x:v>
      </x:c>
      <x:c r="G35" s="33" t="n">
        <x:f>SUM(V35:AG35)</x:f>
        <x:v>15856178.019368345</x:v>
      </x:c>
      <x:c r="H35" s="33" t="n">
        <x:f>SUM(AH35:AS35)</x:f>
        <x:v>53583032.331518106</x:v>
      </x:c>
      <x:c r="I35" s="2"/>
      <x:c r="J35" s="31" t="n">
        <x:f>J29*'01_가정'!F74</x:f>
        <x:v>0</x:v>
      </x:c>
      <x:c r="K35" s="31" t="n">
        <x:f>K29*'01_가정'!F74</x:f>
        <x:v>0</x:v>
      </x:c>
      <x:c r="L35" s="31" t="n">
        <x:f>L29*'01_가정'!F74</x:f>
        <x:v>0</x:v>
      </x:c>
      <x:c r="M35" s="31" t="n">
        <x:f>M29*'01_가정'!F74</x:f>
        <x:v>0</x:v>
      </x:c>
      <x:c r="N35" s="31" t="n">
        <x:f>N29*'01_가정'!F74</x:f>
        <x:v>0</x:v>
      </x:c>
      <x:c r="O35" s="31" t="n">
        <x:f>O29*'01_가정'!F74</x:f>
        <x:v>0</x:v>
      </x:c>
      <x:c r="P35" s="31" t="n">
        <x:f>P29*'01_가정'!F74</x:f>
        <x:v>0</x:v>
      </x:c>
      <x:c r="Q35" s="31" t="n">
        <x:f>Q29*'01_가정'!F74</x:f>
        <x:v>31395.000000000004</x:v>
      </x:c>
      <x:c r="R35" s="31" t="n">
        <x:f>R29*'01_가정'!F74</x:f>
        <x:v>75750.5</x:v>
      </x:c>
      <x:c r="S35" s="31" t="n">
        <x:f>S29*'01_가정'!F74</x:f>
        <x:v>132575.44999999998</x:v>
      </x:c>
      <x:c r="T35" s="31" t="n">
        <x:f>T29*'01_가정'!F74</x:f>
        <x:v>183717.90499999997</x:v>
      </x:c>
      <x:c r="U35" s="31" t="n">
        <x:f>U29*'01_가정'!F74</x:f>
        <x:v>229746.1145</x:v>
      </x:c>
      <x:c r="V35" s="31" t="n">
        <x:f>V29*'01_가정'!G74</x:f>
        <x:v>250028.767264</x:v>
      </x:c>
      <x:c r="W35" s="31" t="n">
        <x:f>W29*'01_가정'!G74</x:f>
        <x:v>508758.1782102399</x:v>
      </x:c>
      <x:c r="X35" s="31" t="n">
        <x:f>X29*'01_가정'!G74</x:f>
        <x:v>744201.9421713183</x:v>
      </x:c>
      <x:c r="Y35" s="31" t="n">
        <x:f>Y29*'01_가정'!G74</x:f>
        <x:v>958455.7673758996</x:v>
      </x:c>
      <x:c r="Z35" s="31" t="n">
        <x:f>Z29*'01_가정'!G74</x:f>
        <x:v>1153426.7483120686</x:v>
      </x:c>
      <x:c r="AA35" s="31" t="n">
        <x:f>AA29*'01_가정'!G74</x:f>
        <x:v>1330850.3409639825</x:v>
      </x:c>
      <x:c r="AB35" s="31" t="n">
        <x:f>AB29*'01_가정'!G74</x:f>
        <x:v>1492305.810277224</x:v>
      </x:c>
      <x:c r="AC35" s="31" t="n">
        <x:f>AC29*'01_가정'!G74</x:f>
        <x:v>1639230.2873522737</x:v>
      </x:c>
      <x:c r="AD35" s="31" t="n">
        <x:f>AD29*'01_가정'!G74</x:f>
        <x:v>1772931.5614905693</x:v>
      </x:c>
      <x:c r="AE35" s="31" t="n">
        <x:f>AE29*'01_가정'!G74</x:f>
        <x:v>1894599.720956418</x:v>
      </x:c>
      <x:c r="AF35" s="31" t="n">
        <x:f>AF29*'01_가정'!G74</x:f>
        <x:v>2005317.7460703403</x:v>
      </x:c>
      <x:c r="AG35" s="31" t="n">
        <x:f>AG29*'01_가정'!G74</x:f>
        <x:v>2106071.14892401</x:v>
      </x:c>
      <x:c r="AH35" s="31" t="n">
        <x:f>AH29*'01_가정'!H74</x:f>
        <x:v>2080141.3659469585</x:v>
      </x:c>
      <x:c r="AI35" s="31" t="n">
        <x:f>AI29*'01_가정'!H74</x:f>
        <x:v>2639175.0566712017</x:v>
      </x:c>
      <x:c r="AJ35" s="31" t="n">
        <x:f>AJ29*'01_가정'!H74</x:f>
        <x:v>3153486.052137506</x:v>
      </x:c>
      <x:c r="AK35" s="31" t="n">
        <x:f>AK29*'01_가정'!H74</x:f>
        <x:v>3626652.1679665055</x:v>
      </x:c>
      <x:c r="AL35" s="31" t="n">
        <x:f>AL29*'01_가정'!H74</x:f>
        <x:v>4061964.994529185</x:v>
      </x:c>
      <x:c r="AM35" s="31" t="n">
        <x:f>AM29*'01_가정'!H74</x:f>
        <x:v>4462452.79496685</x:v>
      </x:c>
      <x:c r="AN35" s="31" t="n">
        <x:f>AN29*'01_가정'!H74</x:f>
        <x:v>4830901.571369503</x:v>
      </x:c>
      <x:c r="AO35" s="31" t="n">
        <x:f>AO29*'01_가정'!H74</x:f>
        <x:v>5169874.445659943</x:v>
      </x:c>
      <x:c r="AP35" s="31" t="n">
        <x:f>AP29*'01_가정'!H74</x:f>
        <x:v>5481729.490007147</x:v>
      </x:c>
      <x:c r="AQ35" s="31" t="n">
        <x:f>AQ29*'01_가정'!H74</x:f>
        <x:v>5768636.1308065755</x:v>
      </x:c>
      <x:c r="AR35" s="31" t="n">
        <x:f>AR29*'01_가정'!H74</x:f>
        <x:v>6032590.24034205</x:v>
      </x:c>
      <x:c r="AS35" s="31" t="n">
        <x:f>AS29*'01_가정'!H74</x:f>
        <x:v>6275428.0211146865</x:v>
      </x:c>
    </x:row>
    <x:row r="36" ht="23" customHeight="1">
      <x:c r="A36" s="2"/>
      <x:c r="B36" s="2"/>
      <x:c r="C36" s="19" t="str">
        <x:v>매출총이익</x:v>
      </x:c>
      <x:c r="D36" s="19" t="str">
        <x:v>원</x:v>
      </x:c>
      <x:c r="E36" s="19"/>
      <x:c r="F36" s="21" t="n">
        <x:f>SUM(J36:U36)</x:f>
        <x:v>30592036.948530905</x:v>
      </x:c>
      <x:c r="G36" s="21" t="n">
        <x:f>SUM(V36:AG36)</x:f>
        <x:v>327360031.3981302</x:v>
      </x:c>
      <x:c r="H36" s="21" t="n">
        <x:f>SUM(AH36:AS36)</x:f>
        <x:v>867785173.0203325</x:v>
      </x:c>
      <x:c r="I36" s="19"/>
      <x:c r="J36" s="21" t="n">
        <x:f>J33-SUM(J34:J35)</x:f>
        <x:v>0</x:v>
      </x:c>
      <x:c r="K36" s="21" t="n">
        <x:f>K33-SUM(K34:K35)</x:f>
        <x:v>0</x:v>
      </x:c>
      <x:c r="L36" s="21" t="n">
        <x:f>L33-SUM(L34:L35)</x:f>
        <x:v>0</x:v>
      </x:c>
      <x:c r="M36" s="21" t="n">
        <x:f>M33-SUM(M34:M35)</x:f>
        <x:v>0</x:v>
      </x:c>
      <x:c r="N36" s="21" t="n">
        <x:f>N33-SUM(N34:N35)</x:f>
        <x:v>0</x:v>
      </x:c>
      <x:c r="O36" s="21" t="n">
        <x:f>O33-SUM(O34:O35)</x:f>
        <x:v>0</x:v>
      </x:c>
      <x:c r="P36" s="21" t="n">
        <x:f>P33-SUM(P34:P35)</x:f>
        <x:v>2715109.090909091</x:v>
      </x:c>
      <x:c r="Q36" s="21" t="n">
        <x:f>Q33-SUM(Q34:Q35)</x:f>
        <x:v>4179167.4909090903</x:v>
      </x:c>
      <x:c r="R36" s="21" t="n">
        <x:f>R33-SUM(R34:R35)</x:f>
        <x:v>5742441.141818181</x:v>
      </x:c>
      <x:c r="S36" s="21" t="n">
        <x:f>S33-SUM(S34:S35)</x:f>
        <x:v>5872208.664</x:v>
      </x:c>
      <x:c r="T36" s="21" t="n">
        <x:f>T33-SUM(T34:T35)</x:f>
        <x:v>5988999.433963635</x:v>
      </x:c>
      <x:c r="U36" s="21" t="n">
        <x:f>U33-SUM(U34:U35)</x:f>
        <x:v>6094111.126930908</x:v>
      </x:c>
      <x:c r="V36" s="21" t="n">
        <x:f>V33-SUM(V34:V35)</x:f>
        <x:v>24314426.895955183</x:v>
      </x:c>
      <x:c r="W36" s="21" t="n">
        <x:f>W33-SUM(W34:W35)</x:f>
        <x:v>24984918.28420847</x:v>
      </x:c>
      <x:c r="X36" s="21" t="n">
        <x:f>X33-SUM(X34:X35)</x:f>
        <x:v>25595065.44751897</x:v>
      </x:c>
      <x:c r="Y36" s="21" t="n">
        <x:f>Y33-SUM(Y34:Y35)</x:f>
        <x:v>26388078.928895853</x:v>
      </x:c>
      <x:c r="Z36" s="21" t="n">
        <x:f>Z33-SUM(Z34:Z35)</x:f>
        <x:v>26893341.79483327</x:v>
      </x:c>
      <x:c r="AA36" s="21" t="n">
        <x:f>AA33-SUM(AA34:AA35)</x:f>
        <x:v>27353131.002836324</x:v>
      </x:c>
      <x:c r="AB36" s="21" t="n">
        <x:f>AB33-SUM(AB34:AB35)</x:f>
        <x:v>27790449.282795608</x:v>
      </x:c>
      <x:c r="AC36" s="21" t="n">
        <x:f>AC33-SUM(AC34:AC35)</x:f>
        <x:v>28171200.725942936</x:v>
      </x:c>
      <x:c r="AD36" s="21" t="n">
        <x:f>AD33-SUM(AD34:AD35)</x:f>
        <x:v>28517684.539207004</x:v>
      </x:c>
      <x:c r="AE36" s="21" t="n">
        <x:f>AE33-SUM(AE34:AE35)</x:f>
        <x:v>28838929.28358781</x:v>
      </x:c>
      <x:c r="AF36" s="21" t="n">
        <x:f>AF33-SUM(AF34:AF35)</x:f>
        <x:v>29125852.529351786</x:v>
      </x:c>
      <x:c r="AG36" s="21" t="n">
        <x:f>AG33-SUM(AG34:AG35)</x:f>
        <x:v>29386952.682997</x:v>
      </x:c>
      <x:c r="AH36" s="21" t="n">
        <x:f>AH33-SUM(AH34:AH35)</x:f>
        <x:v>65293922.21838977</x:v>
      </x:c>
      <x:c r="AI36" s="21" t="n">
        <x:f>AI33-SUM(AI34:AI35)</x:f>
        <x:v>66876495.77558549</x:v>
      </x:c>
      <x:c r="AJ36" s="21" t="n">
        <x:f>AJ33-SUM(AJ34:AJ35)</x:f>
        <x:v>68332463.44820556</x:v>
      </x:c>
      <x:c r="AK36" s="21" t="n">
        <x:f>AK33-SUM(AK34:AK35)</x:f>
        <x:v>70014177.20125489</x:v>
      </x:c>
      <x:c r="AL36" s="21" t="n">
        <x:f>AL33-SUM(AL34:AL35)</x:f>
        <x:v>71246508.23936051</x:v>
      </x:c>
      <x:c r="AM36" s="21" t="n">
        <x:f>AM33-SUM(AM34:AM35)</x:f>
        <x:v>72380252.79441766</x:v>
      </x:c>
      <x:c r="AN36" s="21" t="n">
        <x:f>AN33-SUM(AN34:AN35)</x:f>
        <x:v>73446969.84559172</x:v>
      </x:c>
      <x:c r="AO36" s="21" t="n">
        <x:f>AO33-SUM(AO34:AO35)</x:f>
        <x:v>74406571.23699212</x:v>
      </x:c>
      <x:c r="AP36" s="21" t="n">
        <x:f>AP33-SUM(AP34:AP35)</x:f>
        <x:v>75289404.51708047</x:v>
      </x:c>
      <x:c r="AQ36" s="21" t="n">
        <x:f>AQ33-SUM(AQ34:AQ35)</x:f>
        <x:v>76105498.62857173</x:v>
      </x:c>
      <x:c r="AR36" s="21" t="n">
        <x:f>AR33-SUM(AR34:AR35)</x:f>
        <x:v>76852728.71683854</x:v>
      </x:c>
      <x:c r="AS36" s="21" t="n">
        <x:f>AS33-SUM(AS34:AS35)</x:f>
        <x:v>77540180.39804398</x:v>
      </x:c>
    </x:row>
    <x:row r="37" ht="23" customHeight="1">
      <x:c r="A37" s="2"/>
      <x:c r="B37" s="2"/>
      <x:c r="C37" s="2" t="str">
        <x:v>DTC 결제 수수료</x:v>
      </x:c>
      <x:c r="D37" s="2" t="str">
        <x:v>원</x:v>
      </x:c>
      <x:c r="E37" s="2"/>
      <x:c r="F37" s="33" t="n">
        <x:f>SUM(J37:U37)</x:f>
        <x:v>1718983.2</x:v>
      </x:c>
      <x:c r="G37" s="33" t="n">
        <x:f>SUM(V37:AG37)</x:f>
        <x:v>15713838</x:v>
      </x:c>
      <x:c r="H37" s="33" t="n">
        <x:f>SUM(AH37:AS37)</x:f>
        <x:v>37059876</x:v>
      </x:c>
      <x:c r="I37" s="2"/>
      <x:c r="J37" s="31" t="n">
        <x:f>J30*'01_가정'!$F$86</x:f>
        <x:v>0</x:v>
      </x:c>
      <x:c r="K37" s="31" t="n">
        <x:f>K30*'01_가정'!$F$86</x:f>
        <x:v>0</x:v>
      </x:c>
      <x:c r="L37" s="31" t="n">
        <x:f>L30*'01_가정'!$F$86</x:f>
        <x:v>0</x:v>
      </x:c>
      <x:c r="M37" s="31" t="n">
        <x:f>M30*'01_가정'!$F$86</x:f>
        <x:v>0</x:v>
      </x:c>
      <x:c r="N37" s="31" t="n">
        <x:f>N30*'01_가정'!$F$86</x:f>
        <x:v>0</x:v>
      </x:c>
      <x:c r="O37" s="31" t="n">
        <x:f>O30*'01_가정'!$F$86</x:f>
        <x:v>0</x:v>
      </x:c>
      <x:c r="P37" s="31" t="n">
        <x:f>P30*'01_가정'!$F$86</x:f>
        <x:v>160383.6</x:v>
      </x:c>
      <x:c r="Q37" s="31" t="n">
        <x:f>Q30*'01_가정'!$F$86</x:f>
        <x:v>242631.59999999998</x:v>
      </x:c>
      <x:c r="R37" s="31" t="n">
        <x:f>R30*'01_가정'!$F$86</x:f>
        <x:v>328992</x:v>
      </x:c>
      <x:c r="S37" s="31" t="n">
        <x:f>S30*'01_가정'!$F$86</x:f>
        <x:v>328992</x:v>
      </x:c>
      <x:c r="T37" s="31" t="n">
        <x:f>T30*'01_가정'!$F$86</x:f>
        <x:v>328992</x:v>
      </x:c>
      <x:c r="U37" s="31" t="n">
        <x:f>U30*'01_가정'!$F$86</x:f>
        <x:v>328992</x:v>
      </x:c>
      <x:c r="V37" s="31" t="n">
        <x:f>V30*'01_가정'!$F$86</x:f>
        <x:v>1309486.5</x:v>
      </x:c>
      <x:c r="W37" s="31" t="n">
        <x:f>W30*'01_가정'!$F$86</x:f>
        <x:v>1309486.5</x:v>
      </x:c>
      <x:c r="X37" s="31" t="n">
        <x:f>X30*'01_가정'!$F$86</x:f>
        <x:v>1309486.5</x:v>
      </x:c>
      <x:c r="Y37" s="31" t="n">
        <x:f>Y30*'01_가정'!$F$86</x:f>
        <x:v>1309486.5</x:v>
      </x:c>
      <x:c r="Z37" s="31" t="n">
        <x:f>Z30*'01_가정'!$F$86</x:f>
        <x:v>1309486.5</x:v>
      </x:c>
      <x:c r="AA37" s="31" t="n">
        <x:f>AA30*'01_가정'!$F$86</x:f>
        <x:v>1309486.5</x:v>
      </x:c>
      <x:c r="AB37" s="31" t="n">
        <x:f>AB30*'01_가정'!$F$86</x:f>
        <x:v>1309486.5</x:v>
      </x:c>
      <x:c r="AC37" s="31" t="n">
        <x:f>AC30*'01_가정'!$F$86</x:f>
        <x:v>1309486.5</x:v>
      </x:c>
      <x:c r="AD37" s="31" t="n">
        <x:f>AD30*'01_가정'!$F$86</x:f>
        <x:v>1309486.5</x:v>
      </x:c>
      <x:c r="AE37" s="31" t="n">
        <x:f>AE30*'01_가정'!$F$86</x:f>
        <x:v>1309486.5</x:v>
      </x:c>
      <x:c r="AF37" s="31" t="n">
        <x:f>AF30*'01_가정'!$F$86</x:f>
        <x:v>1309486.5</x:v>
      </x:c>
      <x:c r="AG37" s="31" t="n">
        <x:f>AG30*'01_가정'!$F$86</x:f>
        <x:v>1309486.5</x:v>
      </x:c>
      <x:c r="AH37" s="31" t="n">
        <x:f>AH30*'01_가정'!$F$86</x:f>
        <x:v>3088323</x:v>
      </x:c>
      <x:c r="AI37" s="31" t="n">
        <x:f>AI30*'01_가정'!$F$86</x:f>
        <x:v>3088323</x:v>
      </x:c>
      <x:c r="AJ37" s="31" t="n">
        <x:f>AJ30*'01_가정'!$F$86</x:f>
        <x:v>3088323</x:v>
      </x:c>
      <x:c r="AK37" s="31" t="n">
        <x:f>AK30*'01_가정'!$F$86</x:f>
        <x:v>3088323</x:v>
      </x:c>
      <x:c r="AL37" s="31" t="n">
        <x:f>AL30*'01_가정'!$F$86</x:f>
        <x:v>3088323</x:v>
      </x:c>
      <x:c r="AM37" s="31" t="n">
        <x:f>AM30*'01_가정'!$F$86</x:f>
        <x:v>3088323</x:v>
      </x:c>
      <x:c r="AN37" s="31" t="n">
        <x:f>AN30*'01_가정'!$F$86</x:f>
        <x:v>3088323</x:v>
      </x:c>
      <x:c r="AO37" s="31" t="n">
        <x:f>AO30*'01_가정'!$F$86</x:f>
        <x:v>3088323</x:v>
      </x:c>
      <x:c r="AP37" s="31" t="n">
        <x:f>AP30*'01_가정'!$F$86</x:f>
        <x:v>3088323</x:v>
      </x:c>
      <x:c r="AQ37" s="31" t="n">
        <x:f>AQ30*'01_가정'!$F$86</x:f>
        <x:v>3088323</x:v>
      </x:c>
      <x:c r="AR37" s="31" t="n">
        <x:f>AR30*'01_가정'!$F$86</x:f>
        <x:v>3088323</x:v>
      </x:c>
      <x:c r="AS37" s="31" t="n">
        <x:f>AS30*'01_가정'!$F$86</x:f>
        <x:v>3088323</x:v>
      </x:c>
    </x:row>
    <x:row r="38" ht="23" customHeight="1">
      <x:c r="A38" s="2"/>
      <x:c r="B38" s="2"/>
      <x:c r="C38" s="2" t="str">
        <x:v>본체 DTC 물류비</x:v>
      </x:c>
      <x:c r="D38" s="2" t="str">
        <x:v>원</x:v>
      </x:c>
      <x:c r="E38" s="2"/>
      <x:c r="F38" s="33" t="n">
        <x:f>SUM(J38:U38)</x:f>
        <x:v>1881000</x:v>
      </x:c>
      <x:c r="G38" s="33" t="n">
        <x:f>SUM(V38:AG38)</x:f>
        <x:v>17010000</x:v>
      </x:c>
      <x:c r="H38" s="33" t="n">
        <x:f>SUM(AH38:AS38)</x:f>
        <x:v>39690000</x:v>
      </x:c>
      <x:c r="I38" s="2"/>
      <x:c r="J38" s="31" t="n">
        <x:f>J17*'01_가정'!$F$87</x:f>
        <x:v>0</x:v>
      </x:c>
      <x:c r="K38" s="31" t="n">
        <x:f>K17*'01_가정'!$F$87</x:f>
        <x:v>0</x:v>
      </x:c>
      <x:c r="L38" s="31" t="n">
        <x:f>L17*'01_가정'!$F$87</x:f>
        <x:v>0</x:v>
      </x:c>
      <x:c r="M38" s="31" t="n">
        <x:f>M17*'01_가정'!$F$87</x:f>
        <x:v>0</x:v>
      </x:c>
      <x:c r="N38" s="31" t="n">
        <x:f>N17*'01_가정'!$F$87</x:f>
        <x:v>0</x:v>
      </x:c>
      <x:c r="O38" s="31" t="n">
        <x:f>O17*'01_가정'!$F$87</x:f>
        <x:v>0</x:v>
      </x:c>
      <x:c r="P38" s="31" t="n">
        <x:f>P17*'01_가정'!$F$87</x:f>
        <x:v>175500</x:v>
      </x:c>
      <x:c r="Q38" s="31" t="n">
        <x:f>Q17*'01_가정'!$F$87</x:f>
        <x:v>265500</x:v>
      </x:c>
      <x:c r="R38" s="31" t="n">
        <x:f>R17*'01_가정'!$F$87</x:f>
        <x:v>360000</x:v>
      </x:c>
      <x:c r="S38" s="31" t="n">
        <x:f>S17*'01_가정'!$F$87</x:f>
        <x:v>360000</x:v>
      </x:c>
      <x:c r="T38" s="31" t="n">
        <x:f>T17*'01_가정'!$F$87</x:f>
        <x:v>360000</x:v>
      </x:c>
      <x:c r="U38" s="31" t="n">
        <x:f>U17*'01_가정'!$F$87</x:f>
        <x:v>360000</x:v>
      </x:c>
      <x:c r="V38" s="31" t="n">
        <x:f>V17*'01_가정'!$F$87</x:f>
        <x:v>1417500</x:v>
      </x:c>
      <x:c r="W38" s="31" t="n">
        <x:f>W17*'01_가정'!$F$87</x:f>
        <x:v>1417500</x:v>
      </x:c>
      <x:c r="X38" s="31" t="n">
        <x:f>X17*'01_가정'!$F$87</x:f>
        <x:v>1417500</x:v>
      </x:c>
      <x:c r="Y38" s="31" t="n">
        <x:f>Y17*'01_가정'!$F$87</x:f>
        <x:v>1417500</x:v>
      </x:c>
      <x:c r="Z38" s="31" t="n">
        <x:f>Z17*'01_가정'!$F$87</x:f>
        <x:v>1417500</x:v>
      </x:c>
      <x:c r="AA38" s="31" t="n">
        <x:f>AA17*'01_가정'!$F$87</x:f>
        <x:v>1417500</x:v>
      </x:c>
      <x:c r="AB38" s="31" t="n">
        <x:f>AB17*'01_가정'!$F$87</x:f>
        <x:v>1417500</x:v>
      </x:c>
      <x:c r="AC38" s="31" t="n">
        <x:f>AC17*'01_가정'!$F$87</x:f>
        <x:v>1417500</x:v>
      </x:c>
      <x:c r="AD38" s="31" t="n">
        <x:f>AD17*'01_가정'!$F$87</x:f>
        <x:v>1417500</x:v>
      </x:c>
      <x:c r="AE38" s="31" t="n">
        <x:f>AE17*'01_가정'!$F$87</x:f>
        <x:v>1417500</x:v>
      </x:c>
      <x:c r="AF38" s="31" t="n">
        <x:f>AF17*'01_가정'!$F$87</x:f>
        <x:v>1417500</x:v>
      </x:c>
      <x:c r="AG38" s="31" t="n">
        <x:f>AG17*'01_가정'!$F$87</x:f>
        <x:v>1417500</x:v>
      </x:c>
      <x:c r="AH38" s="31" t="n">
        <x:f>AH17*'01_가정'!$F$87</x:f>
        <x:v>3307500</x:v>
      </x:c>
      <x:c r="AI38" s="31" t="n">
        <x:f>AI17*'01_가정'!$F$87</x:f>
        <x:v>3307500</x:v>
      </x:c>
      <x:c r="AJ38" s="31" t="n">
        <x:f>AJ17*'01_가정'!$F$87</x:f>
        <x:v>3307500</x:v>
      </x:c>
      <x:c r="AK38" s="31" t="n">
        <x:f>AK17*'01_가정'!$F$87</x:f>
        <x:v>3307500</x:v>
      </x:c>
      <x:c r="AL38" s="31" t="n">
        <x:f>AL17*'01_가정'!$F$87</x:f>
        <x:v>3307500</x:v>
      </x:c>
      <x:c r="AM38" s="31" t="n">
        <x:f>AM17*'01_가정'!$F$87</x:f>
        <x:v>3307500</x:v>
      </x:c>
      <x:c r="AN38" s="31" t="n">
        <x:f>AN17*'01_가정'!$F$87</x:f>
        <x:v>3307500</x:v>
      </x:c>
      <x:c r="AO38" s="31" t="n">
        <x:f>AO17*'01_가정'!$F$87</x:f>
        <x:v>3307500</x:v>
      </x:c>
      <x:c r="AP38" s="31" t="n">
        <x:f>AP17*'01_가정'!$F$87</x:f>
        <x:v>3307500</x:v>
      </x:c>
      <x:c r="AQ38" s="31" t="n">
        <x:f>AQ17*'01_가정'!$F$87</x:f>
        <x:v>3307500</x:v>
      </x:c>
      <x:c r="AR38" s="31" t="n">
        <x:f>AR17*'01_가정'!$F$87</x:f>
        <x:v>3307500</x:v>
      </x:c>
      <x:c r="AS38" s="31" t="n">
        <x:f>AS17*'01_가정'!$F$87</x:f>
        <x:v>3307500</x:v>
      </x:c>
    </x:row>
    <x:row r="39" ht="23" customHeight="1">
      <x:c r="A39" s="2"/>
      <x:c r="B39" s="2"/>
      <x:c r="C39" s="2" t="str">
        <x:v>본체 반품 처리비</x:v>
      </x:c>
      <x:c r="D39" s="2" t="str">
        <x:v>원</x:v>
      </x:c>
      <x:c r="E39" s="2"/>
      <x:c r="F39" s="33" t="n">
        <x:f>SUM(J39:U39)</x:f>
        <x:v>200640</x:v>
      </x:c>
      <x:c r="G39" s="33" t="n">
        <x:f>SUM(V39:AG39)</x:f>
        <x:v>1587600</x:v>
      </x:c>
      <x:c r="H39" s="33" t="n">
        <x:f>SUM(AH39:AS39)</x:f>
        <x:v>3175200</x:v>
      </x:c>
      <x:c r="I39" s="2"/>
      <x:c r="J39" s="31" t="n">
        <x:f>SUM(J20,J22)*'01_가정'!$F$88</x:f>
        <x:v>0</x:v>
      </x:c>
      <x:c r="K39" s="31" t="n">
        <x:f>SUM(K20,K22)*'01_가정'!$F$88</x:f>
        <x:v>0</x:v>
      </x:c>
      <x:c r="L39" s="31" t="n">
        <x:f>SUM(L20,L22)*'01_가정'!$F$88</x:f>
        <x:v>0</x:v>
      </x:c>
      <x:c r="M39" s="31" t="n">
        <x:f>SUM(M20,M22)*'01_가정'!$F$88</x:f>
        <x:v>0</x:v>
      </x:c>
      <x:c r="N39" s="31" t="n">
        <x:f>SUM(N20,N22)*'01_가정'!$F$88</x:f>
        <x:v>0</x:v>
      </x:c>
      <x:c r="O39" s="31" t="n">
        <x:f>SUM(O20,O22)*'01_가정'!$F$88</x:f>
        <x:v>0</x:v>
      </x:c>
      <x:c r="P39" s="31" t="n">
        <x:f>SUM(P20,P22)*'01_가정'!$F$88</x:f>
        <x:v>18720</x:v>
      </x:c>
      <x:c r="Q39" s="31" t="n">
        <x:f>SUM(Q20,Q22)*'01_가정'!$F$88</x:f>
        <x:v>28320</x:v>
      </x:c>
      <x:c r="R39" s="31" t="n">
        <x:f>SUM(R20,R22)*'01_가정'!$F$88</x:f>
        <x:v>38400</x:v>
      </x:c>
      <x:c r="S39" s="31" t="n">
        <x:f>SUM(S20,S22)*'01_가정'!$F$88</x:f>
        <x:v>38400</x:v>
      </x:c>
      <x:c r="T39" s="31" t="n">
        <x:f>SUM(T20,T22)*'01_가정'!$F$88</x:f>
        <x:v>38400</x:v>
      </x:c>
      <x:c r="U39" s="31" t="n">
        <x:f>SUM(U20,U22)*'01_가정'!$F$88</x:f>
        <x:v>38400</x:v>
      </x:c>
      <x:c r="V39" s="31" t="n">
        <x:f>SUM(V20,V22)*'01_가정'!$F$88</x:f>
        <x:v>132300</x:v>
      </x:c>
      <x:c r="W39" s="31" t="n">
        <x:f>SUM(W20,W22)*'01_가정'!$F$88</x:f>
        <x:v>132300</x:v>
      </x:c>
      <x:c r="X39" s="31" t="n">
        <x:f>SUM(X20,X22)*'01_가정'!$F$88</x:f>
        <x:v>132300</x:v>
      </x:c>
      <x:c r="Y39" s="31" t="n">
        <x:f>SUM(Y20,Y22)*'01_가정'!$F$88</x:f>
        <x:v>132300</x:v>
      </x:c>
      <x:c r="Z39" s="31" t="n">
        <x:f>SUM(Z20,Z22)*'01_가정'!$F$88</x:f>
        <x:v>132300</x:v>
      </x:c>
      <x:c r="AA39" s="31" t="n">
        <x:f>SUM(AA20,AA22)*'01_가정'!$F$88</x:f>
        <x:v>132300</x:v>
      </x:c>
      <x:c r="AB39" s="31" t="n">
        <x:f>SUM(AB20,AB22)*'01_가정'!$F$88</x:f>
        <x:v>132300</x:v>
      </x:c>
      <x:c r="AC39" s="31" t="n">
        <x:f>SUM(AC20,AC22)*'01_가정'!$F$88</x:f>
        <x:v>132300</x:v>
      </x:c>
      <x:c r="AD39" s="31" t="n">
        <x:f>SUM(AD20,AD22)*'01_가정'!$F$88</x:f>
        <x:v>132300</x:v>
      </x:c>
      <x:c r="AE39" s="31" t="n">
        <x:f>SUM(AE20,AE22)*'01_가정'!$F$88</x:f>
        <x:v>132300</x:v>
      </x:c>
      <x:c r="AF39" s="31" t="n">
        <x:f>SUM(AF20,AF22)*'01_가정'!$F$88</x:f>
        <x:v>132300</x:v>
      </x:c>
      <x:c r="AG39" s="31" t="n">
        <x:f>SUM(AG20,AG22)*'01_가정'!$F$88</x:f>
        <x:v>132300</x:v>
      </x:c>
      <x:c r="AH39" s="31" t="n">
        <x:f>SUM(AH20,AH22)*'01_가정'!$F$88</x:f>
        <x:v>264600</x:v>
      </x:c>
      <x:c r="AI39" s="31" t="n">
        <x:f>SUM(AI20,AI22)*'01_가정'!$F$88</x:f>
        <x:v>264600</x:v>
      </x:c>
      <x:c r="AJ39" s="31" t="n">
        <x:f>SUM(AJ20,AJ22)*'01_가정'!$F$88</x:f>
        <x:v>264600</x:v>
      </x:c>
      <x:c r="AK39" s="31" t="n">
        <x:f>SUM(AK20,AK22)*'01_가정'!$F$88</x:f>
        <x:v>264600</x:v>
      </x:c>
      <x:c r="AL39" s="31" t="n">
        <x:f>SUM(AL20,AL22)*'01_가정'!$F$88</x:f>
        <x:v>264600</x:v>
      </x:c>
      <x:c r="AM39" s="31" t="n">
        <x:f>SUM(AM20,AM22)*'01_가정'!$F$88</x:f>
        <x:v>264600</x:v>
      </x:c>
      <x:c r="AN39" s="31" t="n">
        <x:f>SUM(AN20,AN22)*'01_가정'!$F$88</x:f>
        <x:v>264600</x:v>
      </x:c>
      <x:c r="AO39" s="31" t="n">
        <x:f>SUM(AO20,AO22)*'01_가정'!$F$88</x:f>
        <x:v>264600</x:v>
      </x:c>
      <x:c r="AP39" s="31" t="n">
        <x:f>SUM(AP20,AP22)*'01_가정'!$F$88</x:f>
        <x:v>264600</x:v>
      </x:c>
      <x:c r="AQ39" s="31" t="n">
        <x:f>SUM(AQ20,AQ22)*'01_가정'!$F$88</x:f>
        <x:v>264600</x:v>
      </x:c>
      <x:c r="AR39" s="31" t="n">
        <x:f>SUM(AR20,AR22)*'01_가정'!$F$88</x:f>
        <x:v>264600</x:v>
      </x:c>
      <x:c r="AS39" s="31" t="n">
        <x:f>SUM(AS20,AS22)*'01_가정'!$F$88</x:f>
        <x:v>264600</x:v>
      </x:c>
    </x:row>
    <x:row r="40" ht="23" customHeight="1">
      <x:c r="A40" s="2"/>
      <x:c r="B40" s="2"/>
      <x:c r="C40" s="2" t="str">
        <x:v>본체 AS 기대비용</x:v>
      </x:c>
      <x:c r="D40" s="2" t="str">
        <x:v>원</x:v>
      </x:c>
      <x:c r="E40" s="2"/>
      <x:c r="F40" s="33" t="n">
        <x:f>SUM(J40:U40)</x:f>
        <x:v>836000</x:v>
      </x:c>
      <x:c r="G40" s="33" t="n">
        <x:f>SUM(V40:AG40)</x:f>
        <x:v>7560000</x:v>
      </x:c>
      <x:c r="H40" s="33" t="n">
        <x:f>SUM(AH40:AS40)</x:f>
        <x:v>17640000</x:v>
      </x:c>
      <x:c r="I40" s="2"/>
      <x:c r="J40" s="31" t="n">
        <x:f>J19*'01_가정'!$F$89</x:f>
        <x:v>0</x:v>
      </x:c>
      <x:c r="K40" s="31" t="n">
        <x:f>K19*'01_가정'!$F$89</x:f>
        <x:v>0</x:v>
      </x:c>
      <x:c r="L40" s="31" t="n">
        <x:f>L19*'01_가정'!$F$89</x:f>
        <x:v>0</x:v>
      </x:c>
      <x:c r="M40" s="31" t="n">
        <x:f>M19*'01_가정'!$F$89</x:f>
        <x:v>0</x:v>
      </x:c>
      <x:c r="N40" s="31" t="n">
        <x:f>N19*'01_가정'!$F$89</x:f>
        <x:v>0</x:v>
      </x:c>
      <x:c r="O40" s="31" t="n">
        <x:f>O19*'01_가정'!$F$89</x:f>
        <x:v>0</x:v>
      </x:c>
      <x:c r="P40" s="31" t="n">
        <x:f>P19*'01_가정'!$F$89</x:f>
        <x:v>78000</x:v>
      </x:c>
      <x:c r="Q40" s="31" t="n">
        <x:f>Q19*'01_가정'!$F$89</x:f>
        <x:v>118000</x:v>
      </x:c>
      <x:c r="R40" s="31" t="n">
        <x:f>R19*'01_가정'!$F$89</x:f>
        <x:v>160000</x:v>
      </x:c>
      <x:c r="S40" s="31" t="n">
        <x:f>S19*'01_가정'!$F$89</x:f>
        <x:v>160000</x:v>
      </x:c>
      <x:c r="T40" s="31" t="n">
        <x:f>T19*'01_가정'!$F$89</x:f>
        <x:v>160000</x:v>
      </x:c>
      <x:c r="U40" s="31" t="n">
        <x:f>U19*'01_가정'!$F$89</x:f>
        <x:v>160000</x:v>
      </x:c>
      <x:c r="V40" s="31" t="n">
        <x:f>V19*'01_가정'!$F$89</x:f>
        <x:v>630000</x:v>
      </x:c>
      <x:c r="W40" s="31" t="n">
        <x:f>W19*'01_가정'!$F$89</x:f>
        <x:v>630000</x:v>
      </x:c>
      <x:c r="X40" s="31" t="n">
        <x:f>X19*'01_가정'!$F$89</x:f>
        <x:v>630000</x:v>
      </x:c>
      <x:c r="Y40" s="31" t="n">
        <x:f>Y19*'01_가정'!$F$89</x:f>
        <x:v>630000</x:v>
      </x:c>
      <x:c r="Z40" s="31" t="n">
        <x:f>Z19*'01_가정'!$F$89</x:f>
        <x:v>630000</x:v>
      </x:c>
      <x:c r="AA40" s="31" t="n">
        <x:f>AA19*'01_가정'!$F$89</x:f>
        <x:v>630000</x:v>
      </x:c>
      <x:c r="AB40" s="31" t="n">
        <x:f>AB19*'01_가정'!$F$89</x:f>
        <x:v>630000</x:v>
      </x:c>
      <x:c r="AC40" s="31" t="n">
        <x:f>AC19*'01_가정'!$F$89</x:f>
        <x:v>630000</x:v>
      </x:c>
      <x:c r="AD40" s="31" t="n">
        <x:f>AD19*'01_가정'!$F$89</x:f>
        <x:v>630000</x:v>
      </x:c>
      <x:c r="AE40" s="31" t="n">
        <x:f>AE19*'01_가정'!$F$89</x:f>
        <x:v>630000</x:v>
      </x:c>
      <x:c r="AF40" s="31" t="n">
        <x:f>AF19*'01_가정'!$F$89</x:f>
        <x:v>630000</x:v>
      </x:c>
      <x:c r="AG40" s="31" t="n">
        <x:f>AG19*'01_가정'!$F$89</x:f>
        <x:v>630000</x:v>
      </x:c>
      <x:c r="AH40" s="31" t="n">
        <x:f>AH19*'01_가정'!$F$89</x:f>
        <x:v>1470000</x:v>
      </x:c>
      <x:c r="AI40" s="31" t="n">
        <x:f>AI19*'01_가정'!$F$89</x:f>
        <x:v>1470000</x:v>
      </x:c>
      <x:c r="AJ40" s="31" t="n">
        <x:f>AJ19*'01_가정'!$F$89</x:f>
        <x:v>1470000</x:v>
      </x:c>
      <x:c r="AK40" s="31" t="n">
        <x:f>AK19*'01_가정'!$F$89</x:f>
        <x:v>1470000</x:v>
      </x:c>
      <x:c r="AL40" s="31" t="n">
        <x:f>AL19*'01_가정'!$F$89</x:f>
        <x:v>1470000</x:v>
      </x:c>
      <x:c r="AM40" s="31" t="n">
        <x:f>AM19*'01_가정'!$F$89</x:f>
        <x:v>1470000</x:v>
      </x:c>
      <x:c r="AN40" s="31" t="n">
        <x:f>AN19*'01_가정'!$F$89</x:f>
        <x:v>1470000</x:v>
      </x:c>
      <x:c r="AO40" s="31" t="n">
        <x:f>AO19*'01_가정'!$F$89</x:f>
        <x:v>1470000</x:v>
      </x:c>
      <x:c r="AP40" s="31" t="n">
        <x:f>AP19*'01_가정'!$F$89</x:f>
        <x:v>1470000</x:v>
      </x:c>
      <x:c r="AQ40" s="31" t="n">
        <x:f>AQ19*'01_가정'!$F$89</x:f>
        <x:v>1470000</x:v>
      </x:c>
      <x:c r="AR40" s="31" t="n">
        <x:f>AR19*'01_가정'!$F$89</x:f>
        <x:v>1470000</x:v>
      </x:c>
      <x:c r="AS40" s="31" t="n">
        <x:f>AS19*'01_가정'!$F$89</x:f>
        <x:v>1470000</x:v>
      </x:c>
    </x:row>
    <x:row r="41" ht="23" customHeight="1">
      <x:c r="A41" s="2"/>
      <x:c r="B41" s="2"/>
      <x:c r="C41" s="2" t="str">
        <x:v>본체 변동 상담비</x:v>
      </x:c>
      <x:c r="D41" s="2" t="str">
        <x:v>원</x:v>
      </x:c>
      <x:c r="E41" s="2"/>
      <x:c r="F41" s="33" t="n">
        <x:f>SUM(J41:U41)</x:f>
        <x:v>418000</x:v>
      </x:c>
      <x:c r="G41" s="33" t="n">
        <x:f>SUM(V41:AG41)</x:f>
        <x:v>3780000</x:v>
      </x:c>
      <x:c r="H41" s="33" t="n">
        <x:f>SUM(AH41:AS41)</x:f>
        <x:v>8820000</x:v>
      </x:c>
      <x:c r="I41" s="2"/>
      <x:c r="J41" s="31" t="n">
        <x:f>J19*'01_가정'!$F$90</x:f>
        <x:v>0</x:v>
      </x:c>
      <x:c r="K41" s="31" t="n">
        <x:f>K19*'01_가정'!$F$90</x:f>
        <x:v>0</x:v>
      </x:c>
      <x:c r="L41" s="31" t="n">
        <x:f>L19*'01_가정'!$F$90</x:f>
        <x:v>0</x:v>
      </x:c>
      <x:c r="M41" s="31" t="n">
        <x:f>M19*'01_가정'!$F$90</x:f>
        <x:v>0</x:v>
      </x:c>
      <x:c r="N41" s="31" t="n">
        <x:f>N19*'01_가정'!$F$90</x:f>
        <x:v>0</x:v>
      </x:c>
      <x:c r="O41" s="31" t="n">
        <x:f>O19*'01_가정'!$F$90</x:f>
        <x:v>0</x:v>
      </x:c>
      <x:c r="P41" s="31" t="n">
        <x:f>P19*'01_가정'!$F$90</x:f>
        <x:v>39000</x:v>
      </x:c>
      <x:c r="Q41" s="31" t="n">
        <x:f>Q19*'01_가정'!$F$90</x:f>
        <x:v>59000</x:v>
      </x:c>
      <x:c r="R41" s="31" t="n">
        <x:f>R19*'01_가정'!$F$90</x:f>
        <x:v>80000</x:v>
      </x:c>
      <x:c r="S41" s="31" t="n">
        <x:f>S19*'01_가정'!$F$90</x:f>
        <x:v>80000</x:v>
      </x:c>
      <x:c r="T41" s="31" t="n">
        <x:f>T19*'01_가정'!$F$90</x:f>
        <x:v>80000</x:v>
      </x:c>
      <x:c r="U41" s="31" t="n">
        <x:f>U19*'01_가정'!$F$90</x:f>
        <x:v>80000</x:v>
      </x:c>
      <x:c r="V41" s="31" t="n">
        <x:f>V19*'01_가정'!$F$90</x:f>
        <x:v>315000</x:v>
      </x:c>
      <x:c r="W41" s="31" t="n">
        <x:f>W19*'01_가정'!$F$90</x:f>
        <x:v>315000</x:v>
      </x:c>
      <x:c r="X41" s="31" t="n">
        <x:f>X19*'01_가정'!$F$90</x:f>
        <x:v>315000</x:v>
      </x:c>
      <x:c r="Y41" s="31" t="n">
        <x:f>Y19*'01_가정'!$F$90</x:f>
        <x:v>315000</x:v>
      </x:c>
      <x:c r="Z41" s="31" t="n">
        <x:f>Z19*'01_가정'!$F$90</x:f>
        <x:v>315000</x:v>
      </x:c>
      <x:c r="AA41" s="31" t="n">
        <x:f>AA19*'01_가정'!$F$90</x:f>
        <x:v>315000</x:v>
      </x:c>
      <x:c r="AB41" s="31" t="n">
        <x:f>AB19*'01_가정'!$F$90</x:f>
        <x:v>315000</x:v>
      </x:c>
      <x:c r="AC41" s="31" t="n">
        <x:f>AC19*'01_가정'!$F$90</x:f>
        <x:v>315000</x:v>
      </x:c>
      <x:c r="AD41" s="31" t="n">
        <x:f>AD19*'01_가정'!$F$90</x:f>
        <x:v>315000</x:v>
      </x:c>
      <x:c r="AE41" s="31" t="n">
        <x:f>AE19*'01_가정'!$F$90</x:f>
        <x:v>315000</x:v>
      </x:c>
      <x:c r="AF41" s="31" t="n">
        <x:f>AF19*'01_가정'!$F$90</x:f>
        <x:v>315000</x:v>
      </x:c>
      <x:c r="AG41" s="31" t="n">
        <x:f>AG19*'01_가정'!$F$90</x:f>
        <x:v>315000</x:v>
      </x:c>
      <x:c r="AH41" s="31" t="n">
        <x:f>AH19*'01_가정'!$F$90</x:f>
        <x:v>735000</x:v>
      </x:c>
      <x:c r="AI41" s="31" t="n">
        <x:f>AI19*'01_가정'!$F$90</x:f>
        <x:v>735000</x:v>
      </x:c>
      <x:c r="AJ41" s="31" t="n">
        <x:f>AJ19*'01_가정'!$F$90</x:f>
        <x:v>735000</x:v>
      </x:c>
      <x:c r="AK41" s="31" t="n">
        <x:f>AK19*'01_가정'!$F$90</x:f>
        <x:v>735000</x:v>
      </x:c>
      <x:c r="AL41" s="31" t="n">
        <x:f>AL19*'01_가정'!$F$90</x:f>
        <x:v>735000</x:v>
      </x:c>
      <x:c r="AM41" s="31" t="n">
        <x:f>AM19*'01_가정'!$F$90</x:f>
        <x:v>735000</x:v>
      </x:c>
      <x:c r="AN41" s="31" t="n">
        <x:f>AN19*'01_가정'!$F$90</x:f>
        <x:v>735000</x:v>
      </x:c>
      <x:c r="AO41" s="31" t="n">
        <x:f>AO19*'01_가정'!$F$90</x:f>
        <x:v>735000</x:v>
      </x:c>
      <x:c r="AP41" s="31" t="n">
        <x:f>AP19*'01_가정'!$F$90</x:f>
        <x:v>735000</x:v>
      </x:c>
      <x:c r="AQ41" s="31" t="n">
        <x:f>AQ19*'01_가정'!$F$90</x:f>
        <x:v>735000</x:v>
      </x:c>
      <x:c r="AR41" s="31" t="n">
        <x:f>AR19*'01_가정'!$F$90</x:f>
        <x:v>735000</x:v>
      </x:c>
      <x:c r="AS41" s="31" t="n">
        <x:f>AS19*'01_가정'!$F$90</x:f>
        <x:v>735000</x:v>
      </x:c>
    </x:row>
    <x:row r="42" ht="23" customHeight="1">
      <x:c r="A42" s="2"/>
      <x:c r="B42" s="2"/>
      <x:c r="C42" s="2" t="str">
        <x:v>리테일 물류비</x:v>
      </x:c>
      <x:c r="D42" s="2" t="str">
        <x:v>원</x:v>
      </x:c>
      <x:c r="E42" s="2"/>
      <x:c r="F42" s="33" t="n">
        <x:f>SUM(J42:U42)</x:f>
        <x:v>0</x:v>
      </x:c>
      <x:c r="G42" s="33" t="n">
        <x:f>SUM(V42:AG42)</x:f>
        <x:v>0</x:v>
      </x:c>
      <x:c r="H42" s="33" t="n">
        <x:f>SUM(AH42:AS42)</x:f>
        <x:v>0</x:v>
      </x:c>
      <x:c r="I42" s="2"/>
      <x:c r="J42" s="31" t="n">
        <x:f>J18*'01_가정'!$F$97</x:f>
        <x:v>0</x:v>
      </x:c>
      <x:c r="K42" s="31" t="n">
        <x:f>K18*'01_가정'!$F$97</x:f>
        <x:v>0</x:v>
      </x:c>
      <x:c r="L42" s="31" t="n">
        <x:f>L18*'01_가정'!$F$97</x:f>
        <x:v>0</x:v>
      </x:c>
      <x:c r="M42" s="31" t="n">
        <x:f>M18*'01_가정'!$F$97</x:f>
        <x:v>0</x:v>
      </x:c>
      <x:c r="N42" s="31" t="n">
        <x:f>N18*'01_가정'!$F$97</x:f>
        <x:v>0</x:v>
      </x:c>
      <x:c r="O42" s="31" t="n">
        <x:f>O18*'01_가정'!$F$97</x:f>
        <x:v>0</x:v>
      </x:c>
      <x:c r="P42" s="31" t="n">
        <x:f>P18*'01_가정'!$F$97</x:f>
        <x:v>0</x:v>
      </x:c>
      <x:c r="Q42" s="31" t="n">
        <x:f>Q18*'01_가정'!$F$97</x:f>
        <x:v>0</x:v>
      </x:c>
      <x:c r="R42" s="31" t="n">
        <x:f>R18*'01_가정'!$F$97</x:f>
        <x:v>0</x:v>
      </x:c>
      <x:c r="S42" s="31" t="n">
        <x:f>S18*'01_가정'!$F$97</x:f>
        <x:v>0</x:v>
      </x:c>
      <x:c r="T42" s="31" t="n">
        <x:f>T18*'01_가정'!$F$97</x:f>
        <x:v>0</x:v>
      </x:c>
      <x:c r="U42" s="31" t="n">
        <x:f>U18*'01_가정'!$F$97</x:f>
        <x:v>0</x:v>
      </x:c>
      <x:c r="V42" s="31" t="n">
        <x:f>V18*'01_가정'!$F$97</x:f>
        <x:v>0</x:v>
      </x:c>
      <x:c r="W42" s="31" t="n">
        <x:f>W18*'01_가정'!$F$97</x:f>
        <x:v>0</x:v>
      </x:c>
      <x:c r="X42" s="31" t="n">
        <x:f>X18*'01_가정'!$F$97</x:f>
        <x:v>0</x:v>
      </x:c>
      <x:c r="Y42" s="31" t="n">
        <x:f>Y18*'01_가정'!$F$97</x:f>
        <x:v>0</x:v>
      </x:c>
      <x:c r="Z42" s="31" t="n">
        <x:f>Z18*'01_가정'!$F$97</x:f>
        <x:v>0</x:v>
      </x:c>
      <x:c r="AA42" s="31" t="n">
        <x:f>AA18*'01_가정'!$F$97</x:f>
        <x:v>0</x:v>
      </x:c>
      <x:c r="AB42" s="31" t="n">
        <x:f>AB18*'01_가정'!$F$97</x:f>
        <x:v>0</x:v>
      </x:c>
      <x:c r="AC42" s="31" t="n">
        <x:f>AC18*'01_가정'!$F$97</x:f>
        <x:v>0</x:v>
      </x:c>
      <x:c r="AD42" s="31" t="n">
        <x:f>AD18*'01_가정'!$F$97</x:f>
        <x:v>0</x:v>
      </x:c>
      <x:c r="AE42" s="31" t="n">
        <x:f>AE18*'01_가정'!$F$97</x:f>
        <x:v>0</x:v>
      </x:c>
      <x:c r="AF42" s="31" t="n">
        <x:f>AF18*'01_가정'!$F$97</x:f>
        <x:v>0</x:v>
      </x:c>
      <x:c r="AG42" s="31" t="n">
        <x:f>AG18*'01_가정'!$F$97</x:f>
        <x:v>0</x:v>
      </x:c>
      <x:c r="AH42" s="31" t="n">
        <x:f>AH18*'01_가정'!$F$97</x:f>
        <x:v>0</x:v>
      </x:c>
      <x:c r="AI42" s="31" t="n">
        <x:f>AI18*'01_가정'!$F$97</x:f>
        <x:v>0</x:v>
      </x:c>
      <x:c r="AJ42" s="31" t="n">
        <x:f>AJ18*'01_가정'!$F$97</x:f>
        <x:v>0</x:v>
      </x:c>
      <x:c r="AK42" s="31" t="n">
        <x:f>AK18*'01_가정'!$F$97</x:f>
        <x:v>0</x:v>
      </x:c>
      <x:c r="AL42" s="31" t="n">
        <x:f>AL18*'01_가정'!$F$97</x:f>
        <x:v>0</x:v>
      </x:c>
      <x:c r="AM42" s="31" t="n">
        <x:f>AM18*'01_가정'!$F$97</x:f>
        <x:v>0</x:v>
      </x:c>
      <x:c r="AN42" s="31" t="n">
        <x:f>AN18*'01_가정'!$F$97</x:f>
        <x:v>0</x:v>
      </x:c>
      <x:c r="AO42" s="31" t="n">
        <x:f>AO18*'01_가정'!$F$97</x:f>
        <x:v>0</x:v>
      </x:c>
      <x:c r="AP42" s="31" t="n">
        <x:f>AP18*'01_가정'!$F$97</x:f>
        <x:v>0</x:v>
      </x:c>
      <x:c r="AQ42" s="31" t="n">
        <x:f>AQ18*'01_가정'!$F$97</x:f>
        <x:v>0</x:v>
      </x:c>
      <x:c r="AR42" s="31" t="n">
        <x:f>AR18*'01_가정'!$F$97</x:f>
        <x:v>0</x:v>
      </x:c>
      <x:c r="AS42" s="31" t="n">
        <x:f>AS18*'01_가정'!$F$97</x:f>
        <x:v>0</x:v>
      </x:c>
    </x:row>
    <x:row r="43" ht="23" customHeight="1">
      <x:c r="A43" s="2"/>
      <x:c r="B43" s="2"/>
      <x:c r="C43" s="2" t="str">
        <x:v>리필 결제 수수료</x:v>
      </x:c>
      <x:c r="D43" s="2" t="str">
        <x:v>원</x:v>
      </x:c>
      <x:c r="E43" s="2"/>
      <x:c r="F43" s="33" t="n">
        <x:f>SUM(J43:U43)</x:f>
        <x:v>70779.12329501999</x:v>
      </x:c>
      <x:c r="G43" s="33" t="n">
        <x:f>SUM(V43:AG43)</x:f>
        <x:v>1879254.3986330118</x:v>
      </x:c>
      <x:c r="H43" s="33" t="n">
        <x:f>SUM(AH43:AS43)</x:f>
        <x:v>6773966.947350519</x:v>
      </x:c>
      <x:c r="I43" s="2"/>
      <x:c r="J43" s="31" t="n">
        <x:f>J32*'01_가정'!$F$92</x:f>
        <x:v>0</x:v>
      </x:c>
      <x:c r="K43" s="31" t="n">
        <x:f>K32*'01_가정'!$F$92</x:f>
        <x:v>0</x:v>
      </x:c>
      <x:c r="L43" s="31" t="n">
        <x:f>L32*'01_가정'!$F$92</x:f>
        <x:v>0</x:v>
      </x:c>
      <x:c r="M43" s="31" t="n">
        <x:f>M32*'01_가정'!$F$92</x:f>
        <x:v>0</x:v>
      </x:c>
      <x:c r="N43" s="31" t="n">
        <x:f>N32*'01_가정'!$F$92</x:f>
        <x:v>0</x:v>
      </x:c>
      <x:c r="O43" s="31" t="n">
        <x:f>O32*'01_가정'!$F$92</x:f>
        <x:v>0</x:v>
      </x:c>
      <x:c r="P43" s="31" t="n">
        <x:f>P32*'01_가정'!$F$92</x:f>
        <x:v>0</x:v>
      </x:c>
      <x:c r="Q43" s="31" t="n">
        <x:f>Q32*'01_가정'!$F$92</x:f>
        <x:v>3401.9622000000004</x:v>
      </x:c>
      <x:c r="R43" s="31" t="n">
        <x:f>R32*'01_가정'!$F$92</x:f>
        <x:v>8208.32418</x:v>
      </x:c>
      <x:c r="S43" s="31" t="n">
        <x:f>S32*'01_가정'!$F$92</x:f>
        <x:v>14365.875761999998</x:v>
      </x:c>
      <x:c r="T43" s="31" t="n">
        <x:f>T32*'01_가정'!$F$92</x:f>
        <x:v>19907.6721858</x:v>
      </x:c>
      <x:c r="U43" s="31" t="n">
        <x:f>U32*'01_가정'!$F$92</x:f>
        <x:v>24895.288967219996</x:v>
      </x:c>
      <x:c r="V43" s="31" t="n">
        <x:f>V32*'01_가정'!$F$92</x:f>
        <x:v>29633.096960170198</x:v>
      </x:c>
      <x:c r="W43" s="31" t="n">
        <x:f>W32*'01_가정'!$F$92</x:f>
        <x:v>60297.38333375487</x:v>
      </x:c>
      <x:c r="X43" s="31" t="n">
        <x:f>X32*'01_가정'!$F$92</x:f>
        <x:v>88201.88393371692</x:v>
      </x:c>
      <x:c r="Y43" s="31" t="n">
        <x:f>Y32*'01_가정'!$F$92</x:f>
        <x:v>113594.9794796824</x:v>
      </x:c>
      <x:c r="Z43" s="31" t="n">
        <x:f>Z32*'01_가정'!$F$92</x:f>
        <x:v>136702.696426511</x:v>
      </x:c>
      <x:c r="AA43" s="31" t="n">
        <x:f>AA32*'01_가정'!$F$92</x:f>
        <x:v>157730.71884812502</x:v>
      </x:c>
      <x:c r="AB43" s="31" t="n">
        <x:f>AB32*'01_가정'!$F$92</x:f>
        <x:v>176866.21925179375</x:v>
      </x:c>
      <x:c r="AC43" s="31" t="n">
        <x:f>AC32*'01_가정'!$F$92</x:f>
        <x:v>194279.52461913228</x:v>
      </x:c>
      <x:c r="AD43" s="31" t="n">
        <x:f>AD32*'01_가정'!$F$92</x:f>
        <x:v>210125.6325034104</x:v>
      </x:c>
      <x:c r="AE43" s="31" t="n">
        <x:f>AE32*'01_가정'!$F$92</x:f>
        <x:v>224545.59067810344</x:v>
      </x:c>
      <x:c r="AF43" s="31" t="n">
        <x:f>AF32*'01_가정'!$F$92</x:f>
        <x:v>237667.75261707412</x:v>
      </x:c>
      <x:c r="AG43" s="31" t="n">
        <x:f>AG32*'01_가정'!$F$92</x:f>
        <x:v>249608.91998153747</x:v>
      </x:c>
      <x:c r="AH43" s="31" t="n">
        <x:f>AH32*'01_가정'!$F$92</x:f>
        <x:v>262971.4714830145</x:v>
      </x:c>
      <x:c r="AI43" s="31" t="n">
        <x:f>AI32*'01_가정'!$F$92</x:f>
        <x:v>333644.51066437335</x:v>
      </x:c>
      <x:c r="AJ43" s="31" t="n">
        <x:f>AJ32*'01_가정'!$F$92</x:f>
        <x:v>398663.7067112235</x:v>
      </x:c>
      <x:c r="AK43" s="31" t="n">
        <x:f>AK32*'01_가정'!$F$92</x:f>
        <x:v>458481.3670743256</x:v>
      </x:c>
      <x:c r="AL43" s="31" t="n">
        <x:f>AL32*'01_가정'!$F$92</x:f>
        <x:v>513513.6146083796</x:v>
      </x:c>
      <x:c r="AM43" s="31" t="n">
        <x:f>AM32*'01_가정'!$F$92</x:f>
        <x:v>564143.2823397092</x:v>
      </x:c>
      <x:c r="AN43" s="31" t="n">
        <x:f>AN32*'01_가정'!$F$92</x:f>
        <x:v>610722.5766525324</x:v>
      </x:c>
      <x:c r="AO43" s="31" t="n">
        <x:f>AO32*'01_가정'!$F$92</x:f>
        <x:v>653575.52742033</x:v>
      </x:c>
      <x:c r="AP43" s="31" t="n">
        <x:f>AP32*'01_가정'!$F$92</x:f>
        <x:v>693000.2421267035</x:v>
      </x:c>
      <x:c r="AQ43" s="31" t="n">
        <x:f>AQ32*'01_가정'!$F$92</x:f>
        <x:v>729270.9796565672</x:v>
      </x:c>
      <x:c r="AR43" s="31" t="n">
        <x:f>AR32*'01_가정'!$F$92</x:f>
        <x:v>762640.058184042</x:v>
      </x:c>
      <x:c r="AS43" s="31" t="n">
        <x:f>AS32*'01_가정'!$F$92</x:f>
        <x:v>793339.6104293185</x:v>
      </x:c>
    </x:row>
    <x:row r="44" ht="23" customHeight="1">
      <x:c r="A44" s="2"/>
      <x:c r="B44" s="2"/>
      <x:c r="C44" s="2" t="str">
        <x:v>리필 물류비</x:v>
      </x:c>
      <x:c r="D44" s="2" t="str">
        <x:v>원</x:v>
      </x:c>
      <x:c r="E44" s="2"/>
      <x:c r="F44" s="33" t="n">
        <x:f>SUM(J44:U44)</x:f>
        <x:v>559872.831</x:v>
      </x:c>
      <x:c r="G44" s="33" t="n">
        <x:f>SUM(V44:AG44)</x:f>
        <x:v>14865166.893157821</x:v>
      </x:c>
      <x:c r="H44" s="33" t="n">
        <x:f>SUM(AH44:AS44)</x:f>
        <x:v>53583032.331518106</x:v>
      </x:c>
      <x:c r="I44" s="2"/>
      <x:c r="J44" s="31" t="n">
        <x:f>J29*'01_가정'!$F$91</x:f>
        <x:v>0</x:v>
      </x:c>
      <x:c r="K44" s="31" t="n">
        <x:f>K29*'01_가정'!$F$91</x:f>
        <x:v>0</x:v>
      </x:c>
      <x:c r="L44" s="31" t="n">
        <x:f>L29*'01_가정'!$F$91</x:f>
        <x:v>0</x:v>
      </x:c>
      <x:c r="M44" s="31" t="n">
        <x:f>M29*'01_가정'!$F$91</x:f>
        <x:v>0</x:v>
      </x:c>
      <x:c r="N44" s="31" t="n">
        <x:f>N29*'01_가정'!$F$91</x:f>
        <x:v>0</x:v>
      </x:c>
      <x:c r="O44" s="31" t="n">
        <x:f>O29*'01_가정'!$F$91</x:f>
        <x:v>0</x:v>
      </x:c>
      <x:c r="P44" s="31" t="n">
        <x:f>P29*'01_가정'!$F$91</x:f>
        <x:v>0</x:v>
      </x:c>
      <x:c r="Q44" s="31" t="n">
        <x:f>Q29*'01_가정'!$F$91</x:f>
        <x:v>26910.000000000004</x:v>
      </x:c>
      <x:c r="R44" s="31" t="n">
        <x:f>R29*'01_가정'!$F$91</x:f>
        <x:v>64929</x:v>
      </x:c>
      <x:c r="S44" s="31" t="n">
        <x:f>S29*'01_가정'!$F$91</x:f>
        <x:v>113636.09999999999</x:v>
      </x:c>
      <x:c r="T44" s="31" t="n">
        <x:f>T29*'01_가정'!$F$91</x:f>
        <x:v>157472.49</x:v>
      </x:c>
      <x:c r="U44" s="31" t="n">
        <x:f>U29*'01_가정'!$F$91</x:f>
        <x:v>196925.24099999998</x:v>
      </x:c>
      <x:c r="V44" s="31" t="n">
        <x:f>V29*'01_가정'!$F$91</x:f>
        <x:v>234401.96931</x:v>
      </x:c>
      <x:c r="W44" s="31" t="n">
        <x:f>W29*'01_가정'!$F$91</x:f>
        <x:v>476960.7920720999</x:v>
      </x:c>
      <x:c r="X44" s="31" t="n">
        <x:f>X29*'01_가정'!$F$91</x:f>
        <x:v>697689.3207856109</x:v>
      </x:c>
      <x:c r="Y44" s="31" t="n">
        <x:f>Y29*'01_가정'!$F$91</x:f>
        <x:v>898552.2819149059</x:v>
      </x:c>
      <x:c r="Z44" s="31" t="n">
        <x:f>Z29*'01_가정'!$F$91</x:f>
        <x:v>1081337.5765425642</x:v>
      </x:c>
      <x:c r="AA44" s="31" t="n">
        <x:f>AA29*'01_가정'!$F$91</x:f>
        <x:v>1247672.1946537336</x:v>
      </x:c>
      <x:c r="AB44" s="31" t="n">
        <x:f>AB29*'01_가정'!$F$91</x:f>
        <x:v>1399036.6971348976</x:v>
      </x:c>
      <x:c r="AC44" s="31" t="n">
        <x:f>AC29*'01_가정'!$F$91</x:f>
        <x:v>1536778.3943927567</x:v>
      </x:c>
      <x:c r="AD44" s="31" t="n">
        <x:f>AD29*'01_가정'!$F$91</x:f>
        <x:v>1662123.3388974087</x:v>
      </x:c>
      <x:c r="AE44" s="31" t="n">
        <x:f>AE29*'01_가정'!$F$91</x:f>
        <x:v>1776187.2383966418</x:v>
      </x:c>
      <x:c r="AF44" s="31" t="n">
        <x:f>AF29*'01_가정'!$F$91</x:f>
        <x:v>1879985.386940944</x:v>
      </x:c>
      <x:c r="AG44" s="31" t="n">
        <x:f>AG29*'01_가정'!$F$91</x:f>
        <x:v>1974441.7021162591</x:v>
      </x:c>
      <x:c r="AH44" s="31" t="n">
        <x:f>AH29*'01_가정'!$F$91</x:f>
        <x:v>2080141.3659469585</x:v>
      </x:c>
      <x:c r="AI44" s="31" t="n">
        <x:f>AI29*'01_가정'!$F$91</x:f>
        <x:v>2639175.0566712017</x:v>
      </x:c>
      <x:c r="AJ44" s="31" t="n">
        <x:f>AJ29*'01_가정'!$F$91</x:f>
        <x:v>3153486.052137506</x:v>
      </x:c>
      <x:c r="AK44" s="31" t="n">
        <x:f>AK29*'01_가정'!$F$91</x:f>
        <x:v>3626652.1679665055</x:v>
      </x:c>
      <x:c r="AL44" s="31" t="n">
        <x:f>AL29*'01_가정'!$F$91</x:f>
        <x:v>4061964.994529185</x:v>
      </x:c>
      <x:c r="AM44" s="31" t="n">
        <x:f>AM29*'01_가정'!$F$91</x:f>
        <x:v>4462452.79496685</x:v>
      </x:c>
      <x:c r="AN44" s="31" t="n">
        <x:f>AN29*'01_가정'!$F$91</x:f>
        <x:v>4830901.571369503</x:v>
      </x:c>
      <x:c r="AO44" s="31" t="n">
        <x:f>AO29*'01_가정'!$F$91</x:f>
        <x:v>5169874.445659943</x:v>
      </x:c>
      <x:c r="AP44" s="31" t="n">
        <x:f>AP29*'01_가정'!$F$91</x:f>
        <x:v>5481729.490007147</x:v>
      </x:c>
      <x:c r="AQ44" s="31" t="n">
        <x:f>AQ29*'01_가정'!$F$91</x:f>
        <x:v>5768636.1308065755</x:v>
      </x:c>
      <x:c r="AR44" s="31" t="n">
        <x:f>AR29*'01_가정'!$F$91</x:f>
        <x:v>6032590.24034205</x:v>
      </x:c>
      <x:c r="AS44" s="31" t="n">
        <x:f>AS29*'01_가정'!$F$91</x:f>
        <x:v>6275428.0211146865</x:v>
      </x:c>
    </x:row>
    <x:row r="45" ht="23" customHeight="1">
      <x:c r="A45" s="2"/>
      <x:c r="B45" s="2"/>
      <x:c r="C45" s="2" t="str">
        <x:v>리필 반품 처리비</x:v>
      </x:c>
      <x:c r="D45" s="2" t="str">
        <x:v>원</x:v>
      </x:c>
      <x:c r="E45" s="2"/>
      <x:c r="F45" s="33" t="n">
        <x:f>SUM(J45:U45)</x:f>
        <x:v>22394.91324</x:v>
      </x:c>
      <x:c r="G45" s="33" t="n">
        <x:f>SUM(V45:AG45)</x:f>
        <x:v>594606.6757263129</x:v>
      </x:c>
      <x:c r="H45" s="33" t="n">
        <x:f>SUM(AH45:AS45)</x:f>
        <x:v>2143321.2932607243</x:v>
      </x:c>
      <x:c r="I45" s="2"/>
      <x:c r="J45" s="31" t="n">
        <x:f>J29*'01_가정'!$F$93*'01_가정'!$F$88</x:f>
        <x:v>0</x:v>
      </x:c>
      <x:c r="K45" s="31" t="n">
        <x:f>K29*'01_가정'!$F$93*'01_가정'!$F$88</x:f>
        <x:v>0</x:v>
      </x:c>
      <x:c r="L45" s="31" t="n">
        <x:f>L29*'01_가정'!$F$93*'01_가정'!$F$88</x:f>
        <x:v>0</x:v>
      </x:c>
      <x:c r="M45" s="31" t="n">
        <x:f>M29*'01_가정'!$F$93*'01_가정'!$F$88</x:f>
        <x:v>0</x:v>
      </x:c>
      <x:c r="N45" s="31" t="n">
        <x:f>N29*'01_가정'!$F$93*'01_가정'!$F$88</x:f>
        <x:v>0</x:v>
      </x:c>
      <x:c r="O45" s="31" t="n">
        <x:f>O29*'01_가정'!$F$93*'01_가정'!$F$88</x:f>
        <x:v>0</x:v>
      </x:c>
      <x:c r="P45" s="31" t="n">
        <x:f>P29*'01_가정'!$F$93*'01_가정'!$F$88</x:f>
        <x:v>0</x:v>
      </x:c>
      <x:c r="Q45" s="31" t="n">
        <x:f>Q29*'01_가정'!$F$93*'01_가정'!$F$88</x:f>
        <x:v>1076.4</x:v>
      </x:c>
      <x:c r="R45" s="31" t="n">
        <x:f>R29*'01_가정'!$F$93*'01_가정'!$F$88</x:f>
        <x:v>2597.1600000000003</x:v>
      </x:c>
      <x:c r="S45" s="31" t="n">
        <x:f>S29*'01_가정'!$F$93*'01_가정'!$F$88</x:f>
        <x:v>4545.4439999999995</x:v>
      </x:c>
      <x:c r="T45" s="31" t="n">
        <x:f>T29*'01_가정'!$F$93*'01_가정'!$F$88</x:f>
        <x:v>6298.8996</x:v>
      </x:c>
      <x:c r="U45" s="31" t="n">
        <x:f>U29*'01_가정'!$F$93*'01_가정'!$F$88</x:f>
        <x:v>7877.009639999999</x:v>
      </x:c>
      <x:c r="V45" s="31" t="n">
        <x:f>V29*'01_가정'!$F$93*'01_가정'!$F$88</x:f>
        <x:v>9376.0787724</x:v>
      </x:c>
      <x:c r="W45" s="31" t="n">
        <x:f>W29*'01_가정'!$F$93*'01_가정'!$F$88</x:f>
        <x:v>19078.431682884</x:v>
      </x:c>
      <x:c r="X45" s="31" t="n">
        <x:f>X29*'01_가정'!$F$93*'01_가정'!$F$88</x:f>
        <x:v>27907.572831424437</x:v>
      </x:c>
      <x:c r="Y45" s="31" t="n">
        <x:f>Y29*'01_가정'!$F$93*'01_가정'!$F$88</x:f>
        <x:v>35942.091276596235</x:v>
      </x:c>
      <x:c r="Z45" s="31" t="n">
        <x:f>Z29*'01_가정'!$F$93*'01_가정'!$F$88</x:f>
        <x:v>43253.50306170258</x:v>
      </x:c>
      <x:c r="AA45" s="31" t="n">
        <x:f>AA29*'01_가정'!$F$93*'01_가정'!$F$88</x:f>
        <x:v>49906.887786149346</x:v>
      </x:c>
      <x:c r="AB45" s="31" t="n">
        <x:f>AB29*'01_가정'!$F$93*'01_가정'!$F$88</x:f>
        <x:v>55961.4678853959</x:v>
      </x:c>
      <x:c r="AC45" s="31" t="n">
        <x:f>AC29*'01_가정'!$F$93*'01_가정'!$F$88</x:f>
        <x:v>61471.13577571027</x:v>
      </x:c>
      <x:c r="AD45" s="31" t="n">
        <x:f>AD29*'01_가정'!$F$93*'01_가정'!$F$88</x:f>
        <x:v>66484.93355589635</x:v>
      </x:c>
      <x:c r="AE45" s="31" t="n">
        <x:f>AE29*'01_가정'!$F$93*'01_가정'!$F$88</x:f>
        <x:v>71047.48953586568</x:v>
      </x:c>
      <x:c r="AF45" s="31" t="n">
        <x:f>AF29*'01_가정'!$F$93*'01_가정'!$F$88</x:f>
        <x:v>75199.41547763777</x:v>
      </x:c>
      <x:c r="AG45" s="31" t="n">
        <x:f>AG29*'01_가정'!$F$93*'01_가정'!$F$88</x:f>
        <x:v>78977.66808465036</x:v>
      </x:c>
      <x:c r="AH45" s="31" t="n">
        <x:f>AH29*'01_가정'!$F$93*'01_가정'!$F$88</x:f>
        <x:v>83205.65463787835</x:v>
      </x:c>
      <x:c r="AI45" s="31" t="n">
        <x:f>AI29*'01_가정'!$F$93*'01_가정'!$F$88</x:f>
        <x:v>105567.00226684808</x:v>
      </x:c>
      <x:c r="AJ45" s="31" t="n">
        <x:f>AJ29*'01_가정'!$F$93*'01_가정'!$F$88</x:f>
        <x:v>126139.44208550025</x:v>
      </x:c>
      <x:c r="AK45" s="31" t="n">
        <x:f>AK29*'01_가정'!$F$93*'01_가정'!$F$88</x:f>
        <x:v>145066.08671866023</x:v>
      </x:c>
      <x:c r="AL45" s="31" t="n">
        <x:f>AL29*'01_가정'!$F$93*'01_가정'!$F$88</x:f>
        <x:v>162478.59978116743</x:v>
      </x:c>
      <x:c r="AM45" s="31" t="n">
        <x:f>AM29*'01_가정'!$F$93*'01_가정'!$F$88</x:f>
        <x:v>178498.111798674</x:v>
      </x:c>
      <x:c r="AN45" s="31" t="n">
        <x:f>AN29*'01_가정'!$F$93*'01_가정'!$F$88</x:f>
        <x:v>193236.0628547801</x:v>
      </x:c>
      <x:c r="AO45" s="31" t="n">
        <x:f>AO29*'01_가정'!$F$93*'01_가정'!$F$88</x:f>
        <x:v>206794.97782639772</x:v>
      </x:c>
      <x:c r="AP45" s="31" t="n">
        <x:f>AP29*'01_가정'!$F$93*'01_가정'!$F$88</x:f>
        <x:v>219269.1796002859</x:v>
      </x:c>
      <x:c r="AQ45" s="31" t="n">
        <x:f>AQ29*'01_가정'!$F$93*'01_가정'!$F$88</x:f>
        <x:v>230745.445232263</x:v>
      </x:c>
      <x:c r="AR45" s="31" t="n">
        <x:f>AR29*'01_가정'!$F$93*'01_가정'!$F$88</x:f>
        <x:v>241303.60961368203</x:v>
      </x:c>
      <x:c r="AS45" s="31" t="n">
        <x:f>AS29*'01_가정'!$F$93*'01_가정'!$F$88</x:f>
        <x:v>251017.12084458745</x:v>
      </x:c>
    </x:row>
    <x:row r="46" ht="23" customHeight="1">
      <x:c r="A46" s="2"/>
      <x:c r="B46" s="2"/>
      <x:c r="C46" s="19" t="str">
        <x:v>광고 전 공헌이익</x:v>
      </x:c>
      <x:c r="D46" s="19" t="str">
        <x:v>원</x:v>
      </x:c>
      <x:c r="E46" s="19"/>
      <x:c r="F46" s="21" t="n">
        <x:f>SUM(J46:U46)</x:f>
        <x:v>24884366.880995885</x:v>
      </x:c>
      <x:c r="G46" s="21" t="n">
        <x:f>SUM(V46:AG46)</x:f>
        <x:v>264369565.43061304</x:v>
      </x:c>
      <x:c r="H46" s="21" t="n">
        <x:f>SUM(AH46:AS46)</x:f>
        <x:v>698899776.448203</x:v>
      </x:c>
      <x:c r="I46" s="19"/>
      <x:c r="J46" s="21" t="n">
        <x:f>J36-SUM(J37:J45)</x:f>
        <x:v>0</x:v>
      </x:c>
      <x:c r="K46" s="21" t="n">
        <x:f>K36-SUM(K37:K45)</x:f>
        <x:v>0</x:v>
      </x:c>
      <x:c r="L46" s="21" t="n">
        <x:f>L36-SUM(L37:L45)</x:f>
        <x:v>0</x:v>
      </x:c>
      <x:c r="M46" s="21" t="n">
        <x:f>M36-SUM(M37:M45)</x:f>
        <x:v>0</x:v>
      </x:c>
      <x:c r="N46" s="21" t="n">
        <x:f>N36-SUM(N37:N45)</x:f>
        <x:v>0</x:v>
      </x:c>
      <x:c r="O46" s="21" t="n">
        <x:f>O36-SUM(O37:O45)</x:f>
        <x:v>0</x:v>
      </x:c>
      <x:c r="P46" s="21" t="n">
        <x:f>P36-SUM(P37:P45)</x:f>
        <x:v>2243505.4909090907</x:v>
      </x:c>
      <x:c r="Q46" s="21" t="n">
        <x:f>Q36-SUM(Q37:Q45)</x:f>
        <x:v>3434327.5287090903</x:v>
      </x:c>
      <x:c r="R46" s="21" t="n">
        <x:f>R36-SUM(R37:R45)</x:f>
        <x:v>4699314.657638181</x:v>
      </x:c>
      <x:c r="S46" s="21" t="n">
        <x:f>S36-SUM(S37:S45)</x:f>
        <x:v>4772269.244238</x:v>
      </x:c>
      <x:c r="T46" s="21" t="n">
        <x:f>T36-SUM(T37:T45)</x:f>
        <x:v>4837928.372177836</x:v>
      </x:c>
      <x:c r="U46" s="21" t="n">
        <x:f>U36-SUM(U37:U45)</x:f>
        <x:v>4897021.587323688</x:v>
      </x:c>
      <x:c r="V46" s="21" t="n">
        <x:f>V36-SUM(V37:V45)</x:f>
        <x:v>20236729.250912614</x:v>
      </x:c>
      <x:c r="W46" s="21" t="n">
        <x:f>W36-SUM(W37:W45)</x:f>
        <x:v>20624295.177119732</x:v>
      </x:c>
      <x:c r="X46" s="21" t="n">
        <x:f>X36-SUM(X37:X45)</x:f>
        <x:v>20976980.169968218</x:v>
      </x:c>
      <x:c r="Y46" s="21" t="n">
        <x:f>Y36-SUM(Y37:Y45)</x:f>
        <x:v>21535703.07622467</x:v>
      </x:c>
      <x:c r="Z46" s="21" t="n">
        <x:f>Z36-SUM(Z37:Z45)</x:f>
        <x:v>21827761.518802494</x:v>
      </x:c>
      <x:c r="AA46" s="21" t="n">
        <x:f>AA36-SUM(AA37:AA45)</x:f>
        <x:v>22093534.701548316</x:v>
      </x:c>
      <x:c r="AB46" s="21" t="n">
        <x:f>AB36-SUM(AB37:AB45)</x:f>
        <x:v>22354298.39852352</x:v>
      </x:c>
      <x:c r="AC46" s="21" t="n">
        <x:f>AC36-SUM(AC37:AC45)</x:f>
        <x:v>22574385.171155337</x:v>
      </x:c>
      <x:c r="AD46" s="21" t="n">
        <x:f>AD36-SUM(AD37:AD45)</x:f>
        <x:v>22774664.13425029</x:v>
      </x:c>
      <x:c r="AE46" s="21" t="n">
        <x:f>AE36-SUM(AE37:AE45)</x:f>
        <x:v>22962862.464977197</x:v>
      </x:c>
      <x:c r="AF46" s="21" t="n">
        <x:f>AF36-SUM(AF37:AF45)</x:f>
        <x:v>23128713.474316128</x:v>
      </x:c>
      <x:c r="AG46" s="21" t="n">
        <x:f>AG36-SUM(AG37:AG45)</x:f>
        <x:v>23279637.892814554</x:v>
      </x:c>
      <x:c r="AH46" s="21" t="n">
        <x:f>AH36-SUM(AH37:AH45)</x:f>
        <x:v>54002180.72632192</x:v>
      </x:c>
      <x:c r="AI46" s="21" t="n">
        <x:f>AI36-SUM(AI37:AI45)</x:f>
        <x:v>54932686.205983065</x:v>
      </x:c>
      <x:c r="AJ46" s="21" t="n">
        <x:f>AJ36-SUM(AJ37:AJ45)</x:f>
        <x:v>55788751.24727133</x:v>
      </x:c>
      <x:c r="AK46" s="21" t="n">
        <x:f>AK36-SUM(AK37:AK45)</x:f>
        <x:v>56918554.5794954</x:v>
      </x:c>
      <x:c r="AL46" s="21" t="n">
        <x:f>AL36-SUM(AL37:AL45)</x:f>
        <x:v>57643128.030441776</x:v>
      </x:c>
      <x:c r="AM46" s="21" t="n">
        <x:f>AM36-SUM(AM37:AM45)</x:f>
        <x:v>58309735.60531243</x:v>
      </x:c>
      <x:c r="AN46" s="21" t="n">
        <x:f>AN36-SUM(AN37:AN45)</x:f>
        <x:v>58946686.63471491</x:v>
      </x:c>
      <x:c r="AO46" s="21" t="n">
        <x:f>AO36-SUM(AO37:AO45)</x:f>
        <x:v>59510903.28608545</x:v>
      </x:c>
      <x:c r="AP46" s="21" t="n">
        <x:f>AP36-SUM(AP37:AP45)</x:f>
        <x:v>60029982.60534634</x:v>
      </x:c>
      <x:c r="AQ46" s="21" t="n">
        <x:f>AQ36-SUM(AQ37:AQ45)</x:f>
        <x:v>60511423.07287633</x:v>
      </x:c>
      <x:c r="AR46" s="21" t="n">
        <x:f>AR36-SUM(AR37:AR45)</x:f>
        <x:v>60950771.808698766</x:v>
      </x:c>
      <x:c r="AS46" s="21" t="n">
        <x:f>AS36-SUM(AS37:AS45)</x:f>
        <x:v>61354972.64565538</x:v>
      </x:c>
    </x:row>
    <x:row r="47" ht="23" customHeight="1">
      <x:c r="A47" s="2"/>
      <x:c r="B47" s="2"/>
      <x:c r="C47" s="2" t="str">
        <x:v>판매 광고비</x:v>
      </x:c>
      <x:c r="D47" s="2" t="str">
        <x:v>원</x:v>
      </x:c>
      <x:c r="E47" s="2"/>
      <x:c r="F47" s="33" t="n">
        <x:f>SUM(J47:U47)</x:f>
        <x:v>10500000</x:v>
      </x:c>
      <x:c r="G47" s="33" t="n">
        <x:f>SUM(V47:AG47)</x:f>
        <x:v>72000000</x:v>
      </x:c>
      <x:c r="H47" s="33" t="n">
        <x:f>SUM(AH47:AS47)</x:f>
        <x:v>144000000</x:v>
      </x:c>
      <x:c r="I47" s="2"/>
      <x:c r="J47" s="33" t="n">
        <x:f>J10</x:f>
        <x:v>0</x:v>
      </x:c>
      <x:c r="K47" s="33" t="n">
        <x:f>K10</x:f>
        <x:v>0</x:v>
      </x:c>
      <x:c r="L47" s="33" t="n">
        <x:f>L10</x:f>
        <x:v>0</x:v>
      </x:c>
      <x:c r="M47" s="33" t="n">
        <x:f>M10</x:f>
        <x:v>0</x:v>
      </x:c>
      <x:c r="N47" s="33" t="n">
        <x:f>N10</x:f>
        <x:v>0</x:v>
      </x:c>
      <x:c r="O47" s="33" t="n">
        <x:f>O10</x:f>
        <x:v>0</x:v>
      </x:c>
      <x:c r="P47" s="33" t="n">
        <x:f>P10</x:f>
        <x:v>1000000</x:v>
      </x:c>
      <x:c r="Q47" s="33" t="n">
        <x:f>Q10</x:f>
        <x:v>1500000</x:v>
      </x:c>
      <x:c r="R47" s="33" t="n">
        <x:f>R10</x:f>
        <x:v>2000000</x:v>
      </x:c>
      <x:c r="S47" s="33" t="n">
        <x:f>S10</x:f>
        <x:v>2000000</x:v>
      </x:c>
      <x:c r="T47" s="33" t="n">
        <x:f>T10</x:f>
        <x:v>2000000</x:v>
      </x:c>
      <x:c r="U47" s="33" t="n">
        <x:f>U10</x:f>
        <x:v>2000000</x:v>
      </x:c>
      <x:c r="V47" s="33" t="n">
        <x:f>V10</x:f>
        <x:v>6000000</x:v>
      </x:c>
      <x:c r="W47" s="33" t="n">
        <x:f>W10</x:f>
        <x:v>6000000</x:v>
      </x:c>
      <x:c r="X47" s="33" t="n">
        <x:f>X10</x:f>
        <x:v>6000000</x:v>
      </x:c>
      <x:c r="Y47" s="33" t="n">
        <x:f>Y10</x:f>
        <x:v>6000000</x:v>
      </x:c>
      <x:c r="Z47" s="33" t="n">
        <x:f>Z10</x:f>
        <x:v>6000000</x:v>
      </x:c>
      <x:c r="AA47" s="33" t="n">
        <x:f>AA10</x:f>
        <x:v>6000000</x:v>
      </x:c>
      <x:c r="AB47" s="33" t="n">
        <x:f>AB10</x:f>
        <x:v>6000000</x:v>
      </x:c>
      <x:c r="AC47" s="33" t="n">
        <x:f>AC10</x:f>
        <x:v>6000000</x:v>
      </x:c>
      <x:c r="AD47" s="33" t="n">
        <x:f>AD10</x:f>
        <x:v>6000000</x:v>
      </x:c>
      <x:c r="AE47" s="33" t="n">
        <x:f>AE10</x:f>
        <x:v>6000000</x:v>
      </x:c>
      <x:c r="AF47" s="33" t="n">
        <x:f>AF10</x:f>
        <x:v>6000000</x:v>
      </x:c>
      <x:c r="AG47" s="33" t="n">
        <x:f>AG10</x:f>
        <x:v>6000000</x:v>
      </x:c>
      <x:c r="AH47" s="33" t="n">
        <x:f>AH10</x:f>
        <x:v>12000000</x:v>
      </x:c>
      <x:c r="AI47" s="33" t="n">
        <x:f>AI10</x:f>
        <x:v>12000000</x:v>
      </x:c>
      <x:c r="AJ47" s="33" t="n">
        <x:f>AJ10</x:f>
        <x:v>12000000</x:v>
      </x:c>
      <x:c r="AK47" s="33" t="n">
        <x:f>AK10</x:f>
        <x:v>12000000</x:v>
      </x:c>
      <x:c r="AL47" s="33" t="n">
        <x:f>AL10</x:f>
        <x:v>12000000</x:v>
      </x:c>
      <x:c r="AM47" s="33" t="n">
        <x:f>AM10</x:f>
        <x:v>12000000</x:v>
      </x:c>
      <x:c r="AN47" s="33" t="n">
        <x:f>AN10</x:f>
        <x:v>12000000</x:v>
      </x:c>
      <x:c r="AO47" s="33" t="n">
        <x:f>AO10</x:f>
        <x:v>12000000</x:v>
      </x:c>
      <x:c r="AP47" s="33" t="n">
        <x:f>AP10</x:f>
        <x:v>12000000</x:v>
      </x:c>
      <x:c r="AQ47" s="33" t="n">
        <x:f>AQ10</x:f>
        <x:v>12000000</x:v>
      </x:c>
      <x:c r="AR47" s="33" t="n">
        <x:f>AR10</x:f>
        <x:v>12000000</x:v>
      </x:c>
      <x:c r="AS47" s="33" t="n">
        <x:f>AS10</x:f>
        <x:v>12000000</x:v>
      </x:c>
    </x:row>
    <x:row r="48" ht="23" customHeight="1">
      <x:c r="A48" s="2"/>
      <x:c r="B48" s="2"/>
      <x:c r="C48" s="19" t="str">
        <x:v>광고 후 공헌이익</x:v>
      </x:c>
      <x:c r="D48" s="19" t="str">
        <x:v>원</x:v>
      </x:c>
      <x:c r="E48" s="19"/>
      <x:c r="F48" s="21" t="n">
        <x:f>SUM(J48:U48)</x:f>
        <x:v>14384366.880995886</x:v>
      </x:c>
      <x:c r="G48" s="21" t="n">
        <x:f>SUM(V48:AG48)</x:f>
        <x:v>192369565.43061307</x:v>
      </x:c>
      <x:c r="H48" s="21" t="n">
        <x:f>SUM(AH48:AS48)</x:f>
        <x:v>554899776.4482031</x:v>
      </x:c>
      <x:c r="I48" s="19"/>
      <x:c r="J48" s="21" t="n">
        <x:f>J46-J47</x:f>
        <x:v>0</x:v>
      </x:c>
      <x:c r="K48" s="21" t="n">
        <x:f>K46-K47</x:f>
        <x:v>0</x:v>
      </x:c>
      <x:c r="L48" s="21" t="n">
        <x:f>L46-L47</x:f>
        <x:v>0</x:v>
      </x:c>
      <x:c r="M48" s="21" t="n">
        <x:f>M46-M47</x:f>
        <x:v>0</x:v>
      </x:c>
      <x:c r="N48" s="21" t="n">
        <x:f>N46-N47</x:f>
        <x:v>0</x:v>
      </x:c>
      <x:c r="O48" s="21" t="n">
        <x:f>O46-O47</x:f>
        <x:v>0</x:v>
      </x:c>
      <x:c r="P48" s="21" t="n">
        <x:f>P46-P47</x:f>
        <x:v>1243505.4909090907</x:v>
      </x:c>
      <x:c r="Q48" s="21" t="n">
        <x:f>Q46-Q47</x:f>
        <x:v>1934327.5287090903</x:v>
      </x:c>
      <x:c r="R48" s="21" t="n">
        <x:f>R46-R47</x:f>
        <x:v>2699314.657638181</x:v>
      </x:c>
      <x:c r="S48" s="21" t="n">
        <x:f>S46-S47</x:f>
        <x:v>2772269.2442380004</x:v>
      </x:c>
      <x:c r="T48" s="21" t="n">
        <x:f>T46-T47</x:f>
        <x:v>2837928.3721778356</x:v>
      </x:c>
      <x:c r="U48" s="21" t="n">
        <x:f>U46-U47</x:f>
        <x:v>2897021.587323688</x:v>
      </x:c>
      <x:c r="V48" s="21" t="n">
        <x:f>V46-V47</x:f>
        <x:v>14236729.250912614</x:v>
      </x:c>
      <x:c r="W48" s="21" t="n">
        <x:f>W46-W47</x:f>
        <x:v>14624295.177119732</x:v>
      </x:c>
      <x:c r="X48" s="21" t="n">
        <x:f>X46-X47</x:f>
        <x:v>14976980.169968218</x:v>
      </x:c>
      <x:c r="Y48" s="21" t="n">
        <x:f>Y46-Y47</x:f>
        <x:v>15535703.07622467</x:v>
      </x:c>
      <x:c r="Z48" s="21" t="n">
        <x:f>Z46-Z47</x:f>
        <x:v>15827761.518802494</x:v>
      </x:c>
      <x:c r="AA48" s="21" t="n">
        <x:f>AA46-AA47</x:f>
        <x:v>16093534.701548316</x:v>
      </x:c>
      <x:c r="AB48" s="21" t="n">
        <x:f>AB46-AB47</x:f>
        <x:v>16354298.39852352</x:v>
      </x:c>
      <x:c r="AC48" s="21" t="n">
        <x:f>AC46-AC47</x:f>
        <x:v>16574385.171155337</x:v>
      </x:c>
      <x:c r="AD48" s="21" t="n">
        <x:f>AD46-AD47</x:f>
        <x:v>16774664.13425029</x:v>
      </x:c>
      <x:c r="AE48" s="21" t="n">
        <x:f>AE46-AE47</x:f>
        <x:v>16962862.464977197</x:v>
      </x:c>
      <x:c r="AF48" s="21" t="n">
        <x:f>AF46-AF47</x:f>
        <x:v>17128713.474316128</x:v>
      </x:c>
      <x:c r="AG48" s="21" t="n">
        <x:f>AG46-AG47</x:f>
        <x:v>17279637.892814554</x:v>
      </x:c>
      <x:c r="AH48" s="21" t="n">
        <x:f>AH46-AH47</x:f>
        <x:v>42002180.72632192</x:v>
      </x:c>
      <x:c r="AI48" s="21" t="n">
        <x:f>AI46-AI47</x:f>
        <x:v>42932686.205983065</x:v>
      </x:c>
      <x:c r="AJ48" s="21" t="n">
        <x:f>AJ46-AJ47</x:f>
        <x:v>43788751.24727133</x:v>
      </x:c>
      <x:c r="AK48" s="21" t="n">
        <x:f>AK46-AK47</x:f>
        <x:v>44918554.5794954</x:v>
      </x:c>
      <x:c r="AL48" s="21" t="n">
        <x:f>AL46-AL47</x:f>
        <x:v>45643128.030441776</x:v>
      </x:c>
      <x:c r="AM48" s="21" t="n">
        <x:f>AM46-AM47</x:f>
        <x:v>46309735.60531243</x:v>
      </x:c>
      <x:c r="AN48" s="21" t="n">
        <x:f>AN46-AN47</x:f>
        <x:v>46946686.63471491</x:v>
      </x:c>
      <x:c r="AO48" s="21" t="n">
        <x:f>AO46-AO47</x:f>
        <x:v>47510903.28608545</x:v>
      </x:c>
      <x:c r="AP48" s="21" t="n">
        <x:f>AP46-AP47</x:f>
        <x:v>48029982.60534634</x:v>
      </x:c>
      <x:c r="AQ48" s="21" t="n">
        <x:f>AQ46-AQ47</x:f>
        <x:v>48511423.07287633</x:v>
      </x:c>
      <x:c r="AR48" s="21" t="n">
        <x:f>AR46-AR47</x:f>
        <x:v>48950771.808698766</x:v>
      </x:c>
      <x:c r="AS48" s="21" t="n">
        <x:f>AS46-AS47</x:f>
        <x:v>49354972.64565538</x:v>
      </x:c>
    </x:row>
    <x:row r="49" ht="23" customHeight="1">
      <x:c r="A49" s="2"/>
      <x:c r="B49" s="2"/>
      <x:c r="C49" s="2" t="str">
        <x:v>경제적 인건비 전액</x:v>
      </x:c>
      <x:c r="D49" s="2" t="str">
        <x:v>원</x:v>
      </x:c>
      <x:c r="E49" s="2"/>
      <x:c r="F49" s="33" t="n">
        <x:f>SUM(J49:U49)</x:f>
        <x:v>162000000</x:v>
      </x:c>
      <x:c r="G49" s="33" t="n">
        <x:f>SUM(V49:AG49)</x:f>
        <x:v>169200000</x:v>
      </x:c>
      <x:c r="H49" s="33" t="n">
        <x:f>SUM(AH49:AS49)</x:f>
        <x:v>240000000</x:v>
      </x:c>
      <x:c r="I49" s="2"/>
      <x:c r="J49" s="31" t="n">
        <x:f>'01_가정'!F58*'01_가정'!F62</x:f>
        <x:v>13500000</x:v>
      </x:c>
      <x:c r="K49" s="31" t="n">
        <x:f>'01_가정'!F58*'01_가정'!F62</x:f>
        <x:v>13500000</x:v>
      </x:c>
      <x:c r="L49" s="31" t="n">
        <x:f>'01_가정'!F58*'01_가정'!F62</x:f>
        <x:v>13500000</x:v>
      </x:c>
      <x:c r="M49" s="31" t="n">
        <x:f>'01_가정'!F58*'01_가정'!F62</x:f>
        <x:v>13500000</x:v>
      </x:c>
      <x:c r="N49" s="31" t="n">
        <x:f>'01_가정'!F58*'01_가정'!F62</x:f>
        <x:v>13500000</x:v>
      </x:c>
      <x:c r="O49" s="31" t="n">
        <x:f>'01_가정'!F58*'01_가정'!F62</x:f>
        <x:v>13500000</x:v>
      </x:c>
      <x:c r="P49" s="31" t="n">
        <x:f>'01_가정'!F58*'01_가정'!F62</x:f>
        <x:v>13500000</x:v>
      </x:c>
      <x:c r="Q49" s="31" t="n">
        <x:f>'01_가정'!F58*'01_가정'!F62</x:f>
        <x:v>13500000</x:v>
      </x:c>
      <x:c r="R49" s="31" t="n">
        <x:f>'01_가정'!F58*'01_가정'!F62</x:f>
        <x:v>13500000</x:v>
      </x:c>
      <x:c r="S49" s="31" t="n">
        <x:f>'01_가정'!F58*'01_가정'!F62</x:f>
        <x:v>13500000</x:v>
      </x:c>
      <x:c r="T49" s="31" t="n">
        <x:f>'01_가정'!F58*'01_가정'!F62</x:f>
        <x:v>13500000</x:v>
      </x:c>
      <x:c r="U49" s="31" t="n">
        <x:f>'01_가정'!F58*'01_가정'!F62</x:f>
        <x:v>13500000</x:v>
      </x:c>
      <x:c r="V49" s="31" t="n">
        <x:f>'01_가정'!G58*'01_가정'!G62</x:f>
        <x:v>14100000</x:v>
      </x:c>
      <x:c r="W49" s="31" t="n">
        <x:f>'01_가정'!G58*'01_가정'!G62</x:f>
        <x:v>14100000</x:v>
      </x:c>
      <x:c r="X49" s="31" t="n">
        <x:f>'01_가정'!G58*'01_가정'!G62</x:f>
        <x:v>14100000</x:v>
      </x:c>
      <x:c r="Y49" s="31" t="n">
        <x:f>'01_가정'!G58*'01_가정'!G62</x:f>
        <x:v>14100000</x:v>
      </x:c>
      <x:c r="Z49" s="31" t="n">
        <x:f>'01_가정'!G58*'01_가정'!G62</x:f>
        <x:v>14100000</x:v>
      </x:c>
      <x:c r="AA49" s="31" t="n">
        <x:f>'01_가정'!G58*'01_가정'!G62</x:f>
        <x:v>14100000</x:v>
      </x:c>
      <x:c r="AB49" s="31" t="n">
        <x:f>'01_가정'!G58*'01_가정'!G62</x:f>
        <x:v>14100000</x:v>
      </x:c>
      <x:c r="AC49" s="31" t="n">
        <x:f>'01_가정'!G58*'01_가정'!G62</x:f>
        <x:v>14100000</x:v>
      </x:c>
      <x:c r="AD49" s="31" t="n">
        <x:f>'01_가정'!G58*'01_가정'!G62</x:f>
        <x:v>14100000</x:v>
      </x:c>
      <x:c r="AE49" s="31" t="n">
        <x:f>'01_가정'!G58*'01_가정'!G62</x:f>
        <x:v>14100000</x:v>
      </x:c>
      <x:c r="AF49" s="31" t="n">
        <x:f>'01_가정'!G58*'01_가정'!G62</x:f>
        <x:v>14100000</x:v>
      </x:c>
      <x:c r="AG49" s="31" t="n">
        <x:f>'01_가정'!G58*'01_가정'!G62</x:f>
        <x:v>14100000</x:v>
      </x:c>
      <x:c r="AH49" s="31" t="n">
        <x:f>'01_가정'!H58*'01_가정'!H62</x:f>
        <x:v>20000000</x:v>
      </x:c>
      <x:c r="AI49" s="31" t="n">
        <x:f>'01_가정'!H58*'01_가정'!H62</x:f>
        <x:v>20000000</x:v>
      </x:c>
      <x:c r="AJ49" s="31" t="n">
        <x:f>'01_가정'!H58*'01_가정'!H62</x:f>
        <x:v>20000000</x:v>
      </x:c>
      <x:c r="AK49" s="31" t="n">
        <x:f>'01_가정'!H58*'01_가정'!H62</x:f>
        <x:v>20000000</x:v>
      </x:c>
      <x:c r="AL49" s="31" t="n">
        <x:f>'01_가정'!H58*'01_가정'!H62</x:f>
        <x:v>20000000</x:v>
      </x:c>
      <x:c r="AM49" s="31" t="n">
        <x:f>'01_가정'!H58*'01_가정'!H62</x:f>
        <x:v>20000000</x:v>
      </x:c>
      <x:c r="AN49" s="31" t="n">
        <x:f>'01_가정'!H58*'01_가정'!H62</x:f>
        <x:v>20000000</x:v>
      </x:c>
      <x:c r="AO49" s="31" t="n">
        <x:f>'01_가정'!H58*'01_가정'!H62</x:f>
        <x:v>20000000</x:v>
      </x:c>
      <x:c r="AP49" s="31" t="n">
        <x:f>'01_가정'!H58*'01_가정'!H62</x:f>
        <x:v>20000000</x:v>
      </x:c>
      <x:c r="AQ49" s="31" t="n">
        <x:f>'01_가정'!H58*'01_가정'!H62</x:f>
        <x:v>20000000</x:v>
      </x:c>
      <x:c r="AR49" s="31" t="n">
        <x:f>'01_가정'!H58*'01_가정'!H62</x:f>
        <x:v>20000000</x:v>
      </x:c>
      <x:c r="AS49" s="31" t="n">
        <x:f>'01_가정'!H58*'01_가정'!H62</x:f>
        <x:v>20000000</x:v>
      </x:c>
    </x:row>
    <x:row r="50" ht="23" customHeight="1">
      <x:c r="A50" s="2"/>
      <x:c r="B50" s="2"/>
      <x:c r="C50" s="2" t="str">
        <x:v>고정 운영비</x:v>
      </x:c>
      <x:c r="D50" s="2" t="str">
        <x:v>원</x:v>
      </x:c>
      <x:c r="E50" s="2"/>
      <x:c r="F50" s="33" t="n">
        <x:f>SUM(J50:U50)</x:f>
        <x:v>24000000</x:v>
      </x:c>
      <x:c r="G50" s="33" t="n">
        <x:f>SUM(V50:AG50)</x:f>
        <x:v>36000000</x:v>
      </x:c>
      <x:c r="H50" s="33" t="n">
        <x:f>SUM(AH50:AS50)</x:f>
        <x:v>48000000</x:v>
      </x:c>
      <x:c r="I50" s="2"/>
      <x:c r="J50" s="31" t="n">
        <x:f>'01_가정'!F66</x:f>
        <x:v>2000000</x:v>
      </x:c>
      <x:c r="K50" s="31" t="n">
        <x:f>'01_가정'!F66</x:f>
        <x:v>2000000</x:v>
      </x:c>
      <x:c r="L50" s="31" t="n">
        <x:f>'01_가정'!F66</x:f>
        <x:v>2000000</x:v>
      </x:c>
      <x:c r="M50" s="31" t="n">
        <x:f>'01_가정'!F66</x:f>
        <x:v>2000000</x:v>
      </x:c>
      <x:c r="N50" s="31" t="n">
        <x:f>'01_가정'!F66</x:f>
        <x:v>2000000</x:v>
      </x:c>
      <x:c r="O50" s="31" t="n">
        <x:f>'01_가정'!F66</x:f>
        <x:v>2000000</x:v>
      </x:c>
      <x:c r="P50" s="31" t="n">
        <x:f>'01_가정'!F66</x:f>
        <x:v>2000000</x:v>
      </x:c>
      <x:c r="Q50" s="31" t="n">
        <x:f>'01_가정'!F66</x:f>
        <x:v>2000000</x:v>
      </x:c>
      <x:c r="R50" s="31" t="n">
        <x:f>'01_가정'!F66</x:f>
        <x:v>2000000</x:v>
      </x:c>
      <x:c r="S50" s="31" t="n">
        <x:f>'01_가정'!F66</x:f>
        <x:v>2000000</x:v>
      </x:c>
      <x:c r="T50" s="31" t="n">
        <x:f>'01_가정'!F66</x:f>
        <x:v>2000000</x:v>
      </x:c>
      <x:c r="U50" s="31" t="n">
        <x:f>'01_가정'!F66</x:f>
        <x:v>2000000</x:v>
      </x:c>
      <x:c r="V50" s="31" t="n">
        <x:f>'01_가정'!G66</x:f>
        <x:v>3000000</x:v>
      </x:c>
      <x:c r="W50" s="31" t="n">
        <x:f>'01_가정'!G66</x:f>
        <x:v>3000000</x:v>
      </x:c>
      <x:c r="X50" s="31" t="n">
        <x:f>'01_가정'!G66</x:f>
        <x:v>3000000</x:v>
      </x:c>
      <x:c r="Y50" s="31" t="n">
        <x:f>'01_가정'!G66</x:f>
        <x:v>3000000</x:v>
      </x:c>
      <x:c r="Z50" s="31" t="n">
        <x:f>'01_가정'!G66</x:f>
        <x:v>3000000</x:v>
      </x:c>
      <x:c r="AA50" s="31" t="n">
        <x:f>'01_가정'!G66</x:f>
        <x:v>3000000</x:v>
      </x:c>
      <x:c r="AB50" s="31" t="n">
        <x:f>'01_가정'!G66</x:f>
        <x:v>3000000</x:v>
      </x:c>
      <x:c r="AC50" s="31" t="n">
        <x:f>'01_가정'!G66</x:f>
        <x:v>3000000</x:v>
      </x:c>
      <x:c r="AD50" s="31" t="n">
        <x:f>'01_가정'!G66</x:f>
        <x:v>3000000</x:v>
      </x:c>
      <x:c r="AE50" s="31" t="n">
        <x:f>'01_가정'!G66</x:f>
        <x:v>3000000</x:v>
      </x:c>
      <x:c r="AF50" s="31" t="n">
        <x:f>'01_가정'!G66</x:f>
        <x:v>3000000</x:v>
      </x:c>
      <x:c r="AG50" s="31" t="n">
        <x:f>'01_가정'!G66</x:f>
        <x:v>3000000</x:v>
      </x:c>
      <x:c r="AH50" s="31" t="n">
        <x:f>'01_가정'!H66</x:f>
        <x:v>4000000</x:v>
      </x:c>
      <x:c r="AI50" s="31" t="n">
        <x:f>'01_가정'!H66</x:f>
        <x:v>4000000</x:v>
      </x:c>
      <x:c r="AJ50" s="31" t="n">
        <x:f>'01_가정'!H66</x:f>
        <x:v>4000000</x:v>
      </x:c>
      <x:c r="AK50" s="31" t="n">
        <x:f>'01_가정'!H66</x:f>
        <x:v>4000000</x:v>
      </x:c>
      <x:c r="AL50" s="31" t="n">
        <x:f>'01_가정'!H66</x:f>
        <x:v>4000000</x:v>
      </x:c>
      <x:c r="AM50" s="31" t="n">
        <x:f>'01_가정'!H66</x:f>
        <x:v>4000000</x:v>
      </x:c>
      <x:c r="AN50" s="31" t="n">
        <x:f>'01_가정'!H66</x:f>
        <x:v>4000000</x:v>
      </x:c>
      <x:c r="AO50" s="31" t="n">
        <x:f>'01_가정'!H66</x:f>
        <x:v>4000000</x:v>
      </x:c>
      <x:c r="AP50" s="31" t="n">
        <x:f>'01_가정'!H66</x:f>
        <x:v>4000000</x:v>
      </x:c>
      <x:c r="AQ50" s="31" t="n">
        <x:f>'01_가정'!H66</x:f>
        <x:v>4000000</x:v>
      </x:c>
      <x:c r="AR50" s="31" t="n">
        <x:f>'01_가정'!H66</x:f>
        <x:v>4000000</x:v>
      </x:c>
      <x:c r="AS50" s="31" t="n">
        <x:f>'01_가정'!H66</x:f>
        <x:v>4000000</x:v>
      </x:c>
    </x:row>
    <x:row r="51" ht="23" customHeight="1">
      <x:c r="A51" s="2"/>
      <x:c r="B51" s="2"/>
      <x:c r="C51" s="2" t="str">
        <x:v>검증 및 추가 R&amp;D 비용</x:v>
      </x:c>
      <x:c r="D51" s="2" t="str">
        <x:v>원</x:v>
      </x:c>
      <x:c r="E51" s="2"/>
      <x:c r="F51" s="33" t="n">
        <x:f>SUM(J51:U51)</x:f>
        <x:v>55000000</x:v>
      </x:c>
      <x:c r="G51" s="33" t="n">
        <x:f>SUM(V51:AG51)</x:f>
        <x:v>18000000</x:v>
      </x:c>
      <x:c r="H51" s="33" t="n">
        <x:f>SUM(AH51:AS51)</x:f>
        <x:v>18000000</x:v>
      </x:c>
      <x:c r="I51" s="2"/>
      <x:c r="J51" s="31" t="n">
        <x:f>'01_가정'!$F$109*'05_100일검증'!J23</x:f>
        <x:v>2000000</x:v>
      </x:c>
      <x:c r="K51" s="31" t="n">
        <x:f>'01_가정'!$F$109*'05_100일검증'!K23</x:f>
        <x:v>3000000</x:v>
      </x:c>
      <x:c r="L51" s="31" t="n">
        <x:f>'01_가정'!$F$109*'05_100일검증'!L23</x:f>
        <x:v>3000000</x:v>
      </x:c>
      <x:c r="M51" s="31" t="n">
        <x:f>'01_가정'!$F$109*'05_100일검증'!M23+'01_가정'!$F$108</x:f>
        <x:v>17000000</x:v>
      </x:c>
      <x:c r="N51" s="31" t="n">
        <x:f>'01_가정'!$F$108</x:f>
        <x:v>15000000</x:v>
      </x:c>
      <x:c r="O51" s="31" t="n">
        <x:f>'01_가정'!$F$108</x:f>
        <x:v>15000000</x:v>
      </x:c>
      <x:c r="P51" s="33" t="n">
        <x:f>0</x:f>
        <x:v>0</x:v>
      </x:c>
      <x:c r="Q51" s="33" t="n">
        <x:f>0</x:f>
        <x:v>0</x:v>
      </x:c>
      <x:c r="R51" s="33" t="n">
        <x:f>0</x:f>
        <x:v>0</x:v>
      </x:c>
      <x:c r="S51" s="33" t="n">
        <x:f>0</x:f>
        <x:v>0</x:v>
      </x:c>
      <x:c r="T51" s="33" t="n">
        <x:f>0</x:f>
        <x:v>0</x:v>
      </x:c>
      <x:c r="U51" s="33" t="n">
        <x:f>0</x:f>
        <x:v>0</x:v>
      </x:c>
      <x:c r="V51" s="31" t="n">
        <x:f>'01_가정'!G108</x:f>
        <x:v>1500000</x:v>
      </x:c>
      <x:c r="W51" s="31" t="n">
        <x:f>'01_가정'!G108</x:f>
        <x:v>1500000</x:v>
      </x:c>
      <x:c r="X51" s="31" t="n">
        <x:f>'01_가정'!G108</x:f>
        <x:v>1500000</x:v>
      </x:c>
      <x:c r="Y51" s="31" t="n">
        <x:f>'01_가정'!G108</x:f>
        <x:v>1500000</x:v>
      </x:c>
      <x:c r="Z51" s="31" t="n">
        <x:f>'01_가정'!G108</x:f>
        <x:v>1500000</x:v>
      </x:c>
      <x:c r="AA51" s="31" t="n">
        <x:f>'01_가정'!G108</x:f>
        <x:v>1500000</x:v>
      </x:c>
      <x:c r="AB51" s="31" t="n">
        <x:f>'01_가정'!G108</x:f>
        <x:v>1500000</x:v>
      </x:c>
      <x:c r="AC51" s="31" t="n">
        <x:f>'01_가정'!G108</x:f>
        <x:v>1500000</x:v>
      </x:c>
      <x:c r="AD51" s="31" t="n">
        <x:f>'01_가정'!G108</x:f>
        <x:v>1500000</x:v>
      </x:c>
      <x:c r="AE51" s="31" t="n">
        <x:f>'01_가정'!G108</x:f>
        <x:v>1500000</x:v>
      </x:c>
      <x:c r="AF51" s="31" t="n">
        <x:f>'01_가정'!G108</x:f>
        <x:v>1500000</x:v>
      </x:c>
      <x:c r="AG51" s="31" t="n">
        <x:f>'01_가정'!G108</x:f>
        <x:v>1500000</x:v>
      </x:c>
      <x:c r="AH51" s="31" t="n">
        <x:f>'01_가정'!H108</x:f>
        <x:v>1500000</x:v>
      </x:c>
      <x:c r="AI51" s="31" t="n">
        <x:f>'01_가정'!H108</x:f>
        <x:v>1500000</x:v>
      </x:c>
      <x:c r="AJ51" s="31" t="n">
        <x:f>'01_가정'!H108</x:f>
        <x:v>1500000</x:v>
      </x:c>
      <x:c r="AK51" s="31" t="n">
        <x:f>'01_가정'!H108</x:f>
        <x:v>1500000</x:v>
      </x:c>
      <x:c r="AL51" s="31" t="n">
        <x:f>'01_가정'!H108</x:f>
        <x:v>1500000</x:v>
      </x:c>
      <x:c r="AM51" s="31" t="n">
        <x:f>'01_가정'!H108</x:f>
        <x:v>1500000</x:v>
      </x:c>
      <x:c r="AN51" s="31" t="n">
        <x:f>'01_가정'!H108</x:f>
        <x:v>1500000</x:v>
      </x:c>
      <x:c r="AO51" s="31" t="n">
        <x:f>'01_가정'!H108</x:f>
        <x:v>1500000</x:v>
      </x:c>
      <x:c r="AP51" s="31" t="n">
        <x:f>'01_가정'!H108</x:f>
        <x:v>1500000</x:v>
      </x:c>
      <x:c r="AQ51" s="31" t="n">
        <x:f>'01_가정'!H108</x:f>
        <x:v>1500000</x:v>
      </x:c>
      <x:c r="AR51" s="31" t="n">
        <x:f>'01_가정'!H108</x:f>
        <x:v>1500000</x:v>
      </x:c>
      <x:c r="AS51" s="31" t="n">
        <x:f>'01_가정'!H108</x:f>
        <x:v>1500000</x:v>
      </x:c>
    </x:row>
    <x:row r="52" ht="23" customHeight="1">
      <x:c r="A52" s="2"/>
      <x:c r="B52" s="2"/>
      <x:c r="C52" s="19" t="str">
        <x:v>EBITDA</x:v>
      </x:c>
      <x:c r="D52" s="19" t="str">
        <x:v>원</x:v>
      </x:c>
      <x:c r="E52" s="19"/>
      <x:c r="F52" s="21" t="n">
        <x:f>SUM(J52:U52)</x:f>
        <x:v>-226615633.1190041</x:v>
      </x:c>
      <x:c r="G52" s="21" t="n">
        <x:f>SUM(V52:AG52)</x:f>
        <x:v>-30830434.56938693</x:v>
      </x:c>
      <x:c r="H52" s="21" t="n">
        <x:f>SUM(AH52:AS52)</x:f>
        <x:v>248899776.4482031</x:v>
      </x:c>
      <x:c r="I52" s="19"/>
      <x:c r="J52" s="21" t="n">
        <x:f>J48-SUM(J49:J51)</x:f>
        <x:v>-17500000</x:v>
      </x:c>
      <x:c r="K52" s="21" t="n">
        <x:f>K48-SUM(K49:K51)</x:f>
        <x:v>-18500000</x:v>
      </x:c>
      <x:c r="L52" s="21" t="n">
        <x:f>L48-SUM(L49:L51)</x:f>
        <x:v>-18500000</x:v>
      </x:c>
      <x:c r="M52" s="21" t="n">
        <x:f>M48-SUM(M49:M51)</x:f>
        <x:v>-32500000</x:v>
      </x:c>
      <x:c r="N52" s="21" t="n">
        <x:f>N48-SUM(N49:N51)</x:f>
        <x:v>-30500000</x:v>
      </x:c>
      <x:c r="O52" s="21" t="n">
        <x:f>O48-SUM(O49:O51)</x:f>
        <x:v>-30500000</x:v>
      </x:c>
      <x:c r="P52" s="21" t="n">
        <x:f>P48-SUM(P49:P51)</x:f>
        <x:v>-14256494.50909091</x:v>
      </x:c>
      <x:c r="Q52" s="21" t="n">
        <x:f>Q48-SUM(Q49:Q51)</x:f>
        <x:v>-13565672.471290909</x:v>
      </x:c>
      <x:c r="R52" s="21" t="n">
        <x:f>R48-SUM(R49:R51)</x:f>
        <x:v>-12800685.342361819</x:v>
      </x:c>
      <x:c r="S52" s="21" t="n">
        <x:f>S48-SUM(S49:S51)</x:f>
        <x:v>-12727730.755762</x:v>
      </x:c>
      <x:c r="T52" s="21" t="n">
        <x:f>T48-SUM(T49:T51)</x:f>
        <x:v>-12662071.627822164</x:v>
      </x:c>
      <x:c r="U52" s="21" t="n">
        <x:f>U48-SUM(U49:U51)</x:f>
        <x:v>-12602978.412676312</x:v>
      </x:c>
      <x:c r="V52" s="21" t="n">
        <x:f>V48-SUM(V49:V51)</x:f>
        <x:v>-4363270.749087386</x:v>
      </x:c>
      <x:c r="W52" s="21" t="n">
        <x:f>W48-SUM(W49:W51)</x:f>
        <x:v>-3975704.822880268</x:v>
      </x:c>
      <x:c r="X52" s="21" t="n">
        <x:f>X48-SUM(X49:X51)</x:f>
        <x:v>-3623019.8300317824</x:v>
      </x:c>
      <x:c r="Y52" s="21" t="n">
        <x:f>Y48-SUM(Y49:Y51)</x:f>
        <x:v>-3064296.92377533</x:v>
      </x:c>
      <x:c r="Z52" s="21" t="n">
        <x:f>Z48-SUM(Z49:Z51)</x:f>
        <x:v>-2772238.481197506</x:v>
      </x:c>
      <x:c r="AA52" s="21" t="n">
        <x:f>AA48-SUM(AA49:AA51)</x:f>
        <x:v>-2506465.2984516844</x:v>
      </x:c>
      <x:c r="AB52" s="21" t="n">
        <x:f>AB48-SUM(AB49:AB51)</x:f>
        <x:v>-2245701.6014764793</x:v>
      </x:c>
      <x:c r="AC52" s="21" t="n">
        <x:f>AC48-SUM(AC49:AC51)</x:f>
        <x:v>-2025614.8288446628</x:v>
      </x:c>
      <x:c r="AD52" s="21" t="n">
        <x:f>AD48-SUM(AD49:AD51)</x:f>
        <x:v>-1825335.8657497093</x:v>
      </x:c>
      <x:c r="AE52" s="21" t="n">
        <x:f>AE48-SUM(AE49:AE51)</x:f>
        <x:v>-1637137.5350228027</x:v>
      </x:c>
      <x:c r="AF52" s="21" t="n">
        <x:f>AF48-SUM(AF49:AF51)</x:f>
        <x:v>-1471286.5256838724</x:v>
      </x:c>
      <x:c r="AG52" s="21" t="n">
        <x:f>AG48-SUM(AG49:AG51)</x:f>
        <x:v>-1320362.1071854457</x:v>
      </x:c>
      <x:c r="AH52" s="21" t="n">
        <x:f>AH48-SUM(AH49:AH51)</x:f>
        <x:v>16502180.72632192</x:v>
      </x:c>
      <x:c r="AI52" s="21" t="n">
        <x:f>AI48-SUM(AI49:AI51)</x:f>
        <x:v>17432686.205983065</x:v>
      </x:c>
      <x:c r="AJ52" s="21" t="n">
        <x:f>AJ48-SUM(AJ49:AJ51)</x:f>
        <x:v>18288751.24727133</x:v>
      </x:c>
      <x:c r="AK52" s="21" t="n">
        <x:f>AK48-SUM(AK49:AK51)</x:f>
        <x:v>19418554.5794954</x:v>
      </x:c>
      <x:c r="AL52" s="21" t="n">
        <x:f>AL48-SUM(AL49:AL51)</x:f>
        <x:v>20143128.030441776</x:v>
      </x:c>
      <x:c r="AM52" s="21" t="n">
        <x:f>AM48-SUM(AM49:AM51)</x:f>
        <x:v>20809735.60531243</x:v>
      </x:c>
      <x:c r="AN52" s="21" t="n">
        <x:f>AN48-SUM(AN49:AN51)</x:f>
        <x:v>21446686.63471491</x:v>
      </x:c>
      <x:c r="AO52" s="21" t="n">
        <x:f>AO48-SUM(AO49:AO51)</x:f>
        <x:v>22010903.28608545</x:v>
      </x:c>
      <x:c r="AP52" s="21" t="n">
        <x:f>AP48-SUM(AP49:AP51)</x:f>
        <x:v>22529982.605346337</x:v>
      </x:c>
      <x:c r="AQ52" s="21" t="n">
        <x:f>AQ48-SUM(AQ49:AQ51)</x:f>
        <x:v>23011423.072876327</x:v>
      </x:c>
      <x:c r="AR52" s="21" t="n">
        <x:f>AR48-SUM(AR49:AR51)</x:f>
        <x:v>23450771.808698766</x:v>
      </x:c>
      <x:c r="AS52" s="21" t="n">
        <x:f>AS48-SUM(AS49:AS51)</x:f>
        <x:v>23854972.64565538</x:v>
      </x:c>
    </x:row>
    <x:row r="53" ht="23" customHeight="1">
      <x:c r="A53" s="2"/>
      <x:c r="B53" s="2"/>
      <x:c r="C53" s="2" t="str">
        <x:v>감가상각비</x:v>
      </x:c>
      <x:c r="D53" s="2" t="str">
        <x:v>원</x:v>
      </x:c>
      <x:c r="E53" s="2"/>
      <x:c r="F53" s="33" t="n">
        <x:f>SUM(J53:U53)</x:f>
        <x:v>5555555.555555556</x:v>
      </x:c>
      <x:c r="G53" s="33" t="n">
        <x:f>SUM(V53:AG53)</x:f>
        <x:v>8333333.333333332</x:v>
      </x:c>
      <x:c r="H53" s="33" t="n">
        <x:f>SUM(AH53:AS53)</x:f>
        <x:v>8333333.333333332</x:v>
      </x:c>
      <x:c r="I53" s="2"/>
      <x:c r="J53" s="31" t="n">
        <x:f>'04_재고현금'!J33</x:f>
        <x:v>0</x:v>
      </x:c>
      <x:c r="K53" s="31" t="n">
        <x:f>'04_재고현금'!K33</x:f>
        <x:v>0</x:v>
      </x:c>
      <x:c r="L53" s="31" t="n">
        <x:f>'04_재고현금'!L33</x:f>
        <x:v>0</x:v>
      </x:c>
      <x:c r="M53" s="31" t="n">
        <x:f>'04_재고현금'!M33</x:f>
        <x:v>0</x:v>
      </x:c>
      <x:c r="N53" s="31" t="n">
        <x:f>'04_재고현금'!N33</x:f>
        <x:v>694444.4444444445</x:v>
      </x:c>
      <x:c r="O53" s="31" t="n">
        <x:f>'04_재고현금'!O33</x:f>
        <x:v>694444.4444444445</x:v>
      </x:c>
      <x:c r="P53" s="31" t="n">
        <x:f>'04_재고현금'!P33</x:f>
        <x:v>694444.4444444445</x:v>
      </x:c>
      <x:c r="Q53" s="31" t="n">
        <x:f>'04_재고현금'!Q33</x:f>
        <x:v>694444.4444444445</x:v>
      </x:c>
      <x:c r="R53" s="31" t="n">
        <x:f>'04_재고현금'!R33</x:f>
        <x:v>694444.4444444445</x:v>
      </x:c>
      <x:c r="S53" s="31" t="n">
        <x:f>'04_재고현금'!S33</x:f>
        <x:v>694444.4444444445</x:v>
      </x:c>
      <x:c r="T53" s="31" t="n">
        <x:f>'04_재고현금'!T33</x:f>
        <x:v>694444.4444444445</x:v>
      </x:c>
      <x:c r="U53" s="31" t="n">
        <x:f>'04_재고현금'!U33</x:f>
        <x:v>694444.4444444445</x:v>
      </x:c>
      <x:c r="V53" s="31" t="n">
        <x:f>'04_재고현금'!V33</x:f>
        <x:v>694444.4444444445</x:v>
      </x:c>
      <x:c r="W53" s="31" t="n">
        <x:f>'04_재고현금'!W33</x:f>
        <x:v>694444.4444444445</x:v>
      </x:c>
      <x:c r="X53" s="31" t="n">
        <x:f>'04_재고현금'!X33</x:f>
        <x:v>694444.4444444445</x:v>
      </x:c>
      <x:c r="Y53" s="31" t="n">
        <x:f>'04_재고현금'!Y33</x:f>
        <x:v>694444.4444444445</x:v>
      </x:c>
      <x:c r="Z53" s="31" t="n">
        <x:f>'04_재고현금'!Z33</x:f>
        <x:v>694444.4444444445</x:v>
      </x:c>
      <x:c r="AA53" s="31" t="n">
        <x:f>'04_재고현금'!AA33</x:f>
        <x:v>694444.4444444445</x:v>
      </x:c>
      <x:c r="AB53" s="31" t="n">
        <x:f>'04_재고현금'!AB33</x:f>
        <x:v>694444.4444444445</x:v>
      </x:c>
      <x:c r="AC53" s="31" t="n">
        <x:f>'04_재고현금'!AC33</x:f>
        <x:v>694444.4444444445</x:v>
      </x:c>
      <x:c r="AD53" s="31" t="n">
        <x:f>'04_재고현금'!AD33</x:f>
        <x:v>694444.4444444445</x:v>
      </x:c>
      <x:c r="AE53" s="31" t="n">
        <x:f>'04_재고현금'!AE33</x:f>
        <x:v>694444.4444444445</x:v>
      </x:c>
      <x:c r="AF53" s="31" t="n">
        <x:f>'04_재고현금'!AF33</x:f>
        <x:v>694444.4444444445</x:v>
      </x:c>
      <x:c r="AG53" s="31" t="n">
        <x:f>'04_재고현금'!AG33</x:f>
        <x:v>694444.4444444445</x:v>
      </x:c>
      <x:c r="AH53" s="31" t="n">
        <x:f>'04_재고현금'!AH33</x:f>
        <x:v>694444.4444444445</x:v>
      </x:c>
      <x:c r="AI53" s="31" t="n">
        <x:f>'04_재고현금'!AI33</x:f>
        <x:v>694444.4444444445</x:v>
      </x:c>
      <x:c r="AJ53" s="31" t="n">
        <x:f>'04_재고현금'!AJ33</x:f>
        <x:v>694444.4444444445</x:v>
      </x:c>
      <x:c r="AK53" s="31" t="n">
        <x:f>'04_재고현금'!AK33</x:f>
        <x:v>694444.4444444445</x:v>
      </x:c>
      <x:c r="AL53" s="31" t="n">
        <x:f>'04_재고현금'!AL33</x:f>
        <x:v>694444.4444444445</x:v>
      </x:c>
      <x:c r="AM53" s="31" t="n">
        <x:f>'04_재고현금'!AM33</x:f>
        <x:v>694444.4444444445</x:v>
      </x:c>
      <x:c r="AN53" s="31" t="n">
        <x:f>'04_재고현금'!AN33</x:f>
        <x:v>694444.4444444445</x:v>
      </x:c>
      <x:c r="AO53" s="31" t="n">
        <x:f>'04_재고현금'!AO33</x:f>
        <x:v>694444.4444444445</x:v>
      </x:c>
      <x:c r="AP53" s="31" t="n">
        <x:f>'04_재고현금'!AP33</x:f>
        <x:v>694444.4444444445</x:v>
      </x:c>
      <x:c r="AQ53" s="31" t="n">
        <x:f>'04_재고현금'!AQ33</x:f>
        <x:v>694444.4444444445</x:v>
      </x:c>
      <x:c r="AR53" s="31" t="n">
        <x:f>'04_재고현금'!AR33</x:f>
        <x:v>694444.4444444445</x:v>
      </x:c>
      <x:c r="AS53" s="31" t="n">
        <x:f>'04_재고현금'!AS33</x:f>
        <x:v>694444.4444444445</x:v>
      </x:c>
    </x:row>
    <x:row r="54" ht="23" customHeight="1">
      <x:c r="A54" s="2"/>
      <x:c r="B54" s="2"/>
      <x:c r="C54" s="19" t="str">
        <x:v>영업이익</x:v>
      </x:c>
      <x:c r="D54" s="19" t="str">
        <x:v>원</x:v>
      </x:c>
      <x:c r="E54" s="19"/>
      <x:c r="F54" s="21" t="n">
        <x:f>SUM(J54:U54)</x:f>
        <x:v>-232171188.67455968</x:v>
      </x:c>
      <x:c r="G54" s="21" t="n">
        <x:f>SUM(V54:AG54)</x:f>
        <x:v>-39163767.902720265</x:v>
      </x:c>
      <x:c r="H54" s="21" t="n">
        <x:f>SUM(AH54:AS54)</x:f>
        <x:v>240566443.11486977</x:v>
      </x:c>
      <x:c r="I54" s="19"/>
      <x:c r="J54" s="21" t="n">
        <x:f>J52-J53</x:f>
        <x:v>-17500000</x:v>
      </x:c>
      <x:c r="K54" s="21" t="n">
        <x:f>K52-K53</x:f>
        <x:v>-18500000</x:v>
      </x:c>
      <x:c r="L54" s="21" t="n">
        <x:f>L52-L53</x:f>
        <x:v>-18500000</x:v>
      </x:c>
      <x:c r="M54" s="21" t="n">
        <x:f>M52-M53</x:f>
        <x:v>-32500000</x:v>
      </x:c>
      <x:c r="N54" s="21" t="n">
        <x:f>N52-N53</x:f>
        <x:v>-31194444.444444444</x:v>
      </x:c>
      <x:c r="O54" s="21" t="n">
        <x:f>O52-O53</x:f>
        <x:v>-31194444.444444444</x:v>
      </x:c>
      <x:c r="P54" s="21" t="n">
        <x:f>P52-P53</x:f>
        <x:v>-14950938.953535354</x:v>
      </x:c>
      <x:c r="Q54" s="21" t="n">
        <x:f>Q52-Q53</x:f>
        <x:v>-14260116.915735353</x:v>
      </x:c>
      <x:c r="R54" s="21" t="n">
        <x:f>R52-R53</x:f>
        <x:v>-13495129.786806263</x:v>
      </x:c>
      <x:c r="S54" s="21" t="n">
        <x:f>S52-S53</x:f>
        <x:v>-13422175.200206444</x:v>
      </x:c>
      <x:c r="T54" s="21" t="n">
        <x:f>T52-T53</x:f>
        <x:v>-13356516.072266608</x:v>
      </x:c>
      <x:c r="U54" s="21" t="n">
        <x:f>U52-U53</x:f>
        <x:v>-13297422.857120756</x:v>
      </x:c>
      <x:c r="V54" s="21" t="n">
        <x:f>V52-V53</x:f>
        <x:v>-5057715.19353183</x:v>
      </x:c>
      <x:c r="W54" s="21" t="n">
        <x:f>W52-W53</x:f>
        <x:v>-4670149.267324712</x:v>
      </x:c>
      <x:c r="X54" s="21" t="n">
        <x:f>X52-X53</x:f>
        <x:v>-4317464.274476226</x:v>
      </x:c>
      <x:c r="Y54" s="21" t="n">
        <x:f>Y52-Y53</x:f>
        <x:v>-3758741.3682197747</x:v>
      </x:c>
      <x:c r="Z54" s="21" t="n">
        <x:f>Z52-Z53</x:f>
        <x:v>-3466682.9256419507</x:v>
      </x:c>
      <x:c r="AA54" s="21" t="n">
        <x:f>AA52-AA53</x:f>
        <x:v>-3200909.742896129</x:v>
      </x:c>
      <x:c r="AB54" s="21" t="n">
        <x:f>AB52-AB53</x:f>
        <x:v>-2940146.045920924</x:v>
      </x:c>
      <x:c r="AC54" s="21" t="n">
        <x:f>AC52-AC53</x:f>
        <x:v>-2720059.2732891073</x:v>
      </x:c>
      <x:c r="AD54" s="21" t="n">
        <x:f>AD52-AD53</x:f>
        <x:v>-2519780.310194154</x:v>
      </x:c>
      <x:c r="AE54" s="21" t="n">
        <x:f>AE52-AE53</x:f>
        <x:v>-2331581.979467247</x:v>
      </x:c>
      <x:c r="AF54" s="21" t="n">
        <x:f>AF52-AF53</x:f>
        <x:v>-2165730.970128317</x:v>
      </x:c>
      <x:c r="AG54" s="21" t="n">
        <x:f>AG52-AG53</x:f>
        <x:v>-2014806.5516298902</x:v>
      </x:c>
      <x:c r="AH54" s="21" t="n">
        <x:f>AH52-AH53</x:f>
        <x:v>15807736.281877477</x:v>
      </x:c>
      <x:c r="AI54" s="21" t="n">
        <x:f>AI52-AI53</x:f>
        <x:v>16738241.761538621</x:v>
      </x:c>
      <x:c r="AJ54" s="21" t="n">
        <x:f>AJ52-AJ53</x:f>
        <x:v>17594306.802826885</x:v>
      </x:c>
      <x:c r="AK54" s="21" t="n">
        <x:f>AK52-AK53</x:f>
        <x:v>18724110.135050956</x:v>
      </x:c>
      <x:c r="AL54" s="21" t="n">
        <x:f>AL52-AL53</x:f>
        <x:v>19448683.585997332</x:v>
      </x:c>
      <x:c r="AM54" s="21" t="n">
        <x:f>AM52-AM53</x:f>
        <x:v>20115291.160867985</x:v>
      </x:c>
      <x:c r="AN54" s="21" t="n">
        <x:f>AN52-AN53</x:f>
        <x:v>20752242.190270465</x:v>
      </x:c>
      <x:c r="AO54" s="21" t="n">
        <x:f>AO52-AO53</x:f>
        <x:v>21316458.841641005</x:v>
      </x:c>
      <x:c r="AP54" s="21" t="n">
        <x:f>AP52-AP53</x:f>
        <x:v>21835538.160901893</x:v>
      </x:c>
      <x:c r="AQ54" s="21" t="n">
        <x:f>AQ52-AQ53</x:f>
        <x:v>22316978.628431883</x:v>
      </x:c>
      <x:c r="AR54" s="21" t="n">
        <x:f>AR52-AR53</x:f>
        <x:v>22756327.364254322</x:v>
      </x:c>
      <x:c r="AS54" s="21" t="n">
        <x:f>AS52-AS53</x:f>
        <x:v>23160528.201210935</x:v>
      </x:c>
    </x:row>
    <x:row r="55" ht="23" customHeight="1">
      <x:c r="A55" s="2"/>
      <x:c r="B55" s="2"/>
      <x:c r="C55" s="2" t="str">
        <x:v>공헌이익률</x:v>
      </x:c>
      <x:c r="D55" s="2" t="str">
        <x:v>%</x:v>
      </x:c>
      <x:c r="E55" s="2"/>
      <x:c r="F55" s="34" t="n">
        <x:f>IF(F33&gt;0,F48/F33,"n.a.")</x:f>
        <x:v>0.2652218682304994</x:v>
      </x:c>
      <x:c r="G55" s="34" t="n">
        <x:f>IF(G33&gt;0,G48/G33,"n.a.")</x:f>
        <x:v>0.36083455457230973</x:v>
      </x:c>
      <x:c r="H55" s="34" t="n">
        <x:f>IF(H33&gt;0,H48/H33,"n.a.")</x:f>
        <x:v>0.41775238928480785</x:v>
      </x:c>
      <x:c r="I55" s="2"/>
      <x:c r="J55" s="34" t="str">
        <x:f>IF(J33&gt;0,J48/J33,"n.a.")</x:f>
        <x:v>n.a.</x:v>
      </x:c>
      <x:c r="K55" s="34" t="str">
        <x:f>IF(K33&gt;0,K48/K33,"n.a.")</x:f>
        <x:v>n.a.</x:v>
      </x:c>
      <x:c r="L55" s="34" t="str">
        <x:f>IF(L33&gt;0,L48/L33,"n.a.")</x:f>
        <x:v>n.a.</x:v>
      </x:c>
      <x:c r="M55" s="34" t="str">
        <x:f>IF(M33&gt;0,M48/M33,"n.a.")</x:f>
        <x:v>n.a.</x:v>
      </x:c>
      <x:c r="N55" s="34" t="str">
        <x:f>IF(N33&gt;0,N48/N33,"n.a.")</x:f>
        <x:v>n.a.</x:v>
      </x:c>
      <x:c r="O55" s="34" t="str">
        <x:f>IF(O33&gt;0,O48/O33,"n.a.")</x:f>
        <x:v>n.a.</x:v>
      </x:c>
      <x:c r="P55" s="34" t="n">
        <x:f>IF(P33&gt;0,P48/P33,"n.a.")</x:f>
        <x:v>0.2558595841470075</x:v>
      </x:c>
      <x:c r="Q55" s="34" t="n">
        <x:f>IF(Q33&gt;0,Q48/Q33,"n.a.")</x:f>
        <x:v>0.25944756429413673</x:v>
      </x:c>
      <x:c r="R55" s="34" t="n">
        <x:f>IF(R33&gt;0,R48/R33,"n.a.")</x:f>
        <x:v>0.2641675506056448</x:v>
      </x:c>
      <x:c r="S55" s="34" t="n">
        <x:f>IF(S33&gt;0,S48/S33,"n.a.")</x:f>
        <x:v>0.26644178426612575</x:v>
      </x:c>
      <x:c r="T55" s="34" t="n">
        <x:f>IF(T33&gt;0,T48/T33,"n.a.")</x:f>
        <x:v>0.2684199606584788</x:v>
      </x:c>
      <x:c r="U55" s="34" t="n">
        <x:f>IF(U33&gt;0,U48/U33,"n.a.")</x:f>
        <x:v>0.2701473473678144</x:v>
      </x:c>
      <x:c r="V55" s="34" t="n">
        <x:f>IF(V33&gt;0,V48/V33,"n.a.")</x:f>
        <x:v>0.3508365244946005</x:v>
      </x:c>
      <x:c r="W55" s="34" t="n">
        <x:f>IF(W33&gt;0,W48/W33,"n.a.")</x:f>
        <x:v>0.3523196226184265</x:v>
      </x:c>
      <x:c r="X55" s="34" t="n">
        <x:f>IF(X33&gt;0,X48/X33,"n.a.")</x:f>
        <x:v>0.353612687413155</x:v>
      </x:c>
      <x:c r="Y55" s="34" t="n">
        <x:f>IF(Y33&gt;0,Y48/Y33,"n.a.")</x:f>
        <x:v>0.3602592043449707</x:v>
      </x:c>
      <x:c r="Z55" s="34" t="n">
        <x:f>IF(Z33&gt;0,Z48/Z33,"n.a.")</x:f>
        <x:v>0.3611672189303512</x:v>
      </x:c>
      <x:c r="AA55" s="34" t="n">
        <x:f>IF(AA33&gt;0,AA48/AA33,"n.a.")</x:f>
        <x:v>0.36196865626211583</x:v>
      </x:c>
      <x:c r="AB55" s="34" t="n">
        <x:f>IF(AB33&gt;0,AB48/AB33,"n.a.")</x:f>
        <x:v>0.36309809923377306</x:v>
      </x:c>
      <x:c r="AC55" s="34" t="n">
        <x:f>IF(AC33&gt;0,AC48/AC33,"n.a.")</x:f>
        <x:v>0.3637232798810285</x:v>
      </x:c>
      <x:c r="AD55" s="34" t="n">
        <x:f>IF(AD33&gt;0,AD48/AD33,"n.a.")</x:f>
        <x:v>0.3642797425671497</x:v>
      </x:c>
      <x:c r="AE55" s="34" t="n">
        <x:f>IF(AE33&gt;0,AE48/AE33,"n.a.")</x:f>
        <x:v>0.36490400999160644</x:v>
      </x:c>
      <x:c r="AF55" s="34" t="n">
        <x:f>IF(AF33&gt;0,AF48/AF33,"n.a.")</x:f>
        <x:v>0.36534659921355167</x:v>
      </x:c>
      <x:c r="AG55" s="34" t="n">
        <x:f>IF(AG33&gt;0,AG48/AG33,"n.a.")</x:f>
        <x:v>0.3657428808748812</x:v>
      </x:c>
      <x:c r="AH55" s="34" t="n">
        <x:f>IF(AH33&gt;0,AH48/AH33,"n.a.")</x:f>
        <x:v>0.4135930088397332</x:v>
      </x:c>
      <x:c r="AI55" s="34" t="n">
        <x:f>IF(AI33&gt;0,AI48/AI33,"n.a.")</x:f>
        <x:v>0.41402457515512014</x:v>
      </x:c>
      <x:c r="AJ55" s="34" t="n">
        <x:f>IF(AJ33&gt;0,AJ48/AJ33,"n.a.")</x:f>
        <x:v>0.41440616575302147</x:v>
      </x:c>
      <x:c r="AK55" s="34" t="n">
        <x:f>IF(AK33&gt;0,AK48/AK33,"n.a.")</x:f>
        <x:v>0.41792897146624197</x:v>
      </x:c>
      <x:c r="AL55" s="34" t="n">
        <x:f>IF(AL33&gt;0,AL48/AL33,"n.a.")</x:f>
        <x:v>0.4181819960671223</x:v>
      </x:c>
      <x:c r="AM55" s="34" t="n">
        <x:f>IF(AM33&gt;0,AM48/AM33,"n.a.")</x:f>
        <x:v>0.4184080445491086</x:v>
      </x:c>
      <x:c r="AN55" s="34" t="n">
        <x:f>IF(AN33&gt;0,AN48/AN33,"n.a.")</x:f>
        <x:v>0.41882172761644754</x:v>
      </x:c>
      <x:c r="AO55" s="34" t="n">
        <x:f>IF(AO33&gt;0,AO48/AO33,"n.a.")</x:f>
        <x:v>0.4190011559510954</x:v>
      </x:c>
      <x:c r="AP55" s="34" t="n">
        <x:f>IF(AP33&gt;0,AP48/AP33,"n.a.")</x:f>
        <x:v>0.4191626381787436</x:v>
      </x:c>
      <x:c r="AQ55" s="34" t="n">
        <x:f>IF(AQ33&gt;0,AQ48/AQ33,"n.a.")</x:f>
        <x:v>0.41934186032767545</x:v>
      </x:c>
      <x:c r="AR55" s="34" t="n">
        <x:f>IF(AR33&gt;0,AR48/AR33,"n.a.")</x:f>
        <x:v>0.4194731149794007</x:v>
      </x:c>
      <x:c r="AS55" s="34" t="n">
        <x:f>IF(AS33&gt;0,AS48/AS33,"n.a.")</x:f>
        <x:v>0.4195918761539373</x:v>
      </x:c>
    </x:row>
    <x:row r="56" ht="23" customHeight="1">
      <x:c r="A56" s="2"/>
      <x:c r="B56" s="2"/>
      <x:c r="C56" s="2" t="str">
        <x:v>DTC 혼합 CAC</x:v>
      </x:c>
      <x:c r="D56" s="2" t="str">
        <x:v>원</x:v>
      </x:c>
      <x:c r="E56" s="2"/>
      <x:c r="F56" s="33" t="n">
        <x:f>IF(F17&gt;0,F47/F17,"n.a.")</x:f>
        <x:v>25119.61722488038</x:v>
      </x:c>
      <x:c r="G56" s="33" t="n">
        <x:f>IF(G17&gt;0,G47/G17,"n.a.")</x:f>
        <x:v>19047.619047619046</x:v>
      </x:c>
      <x:c r="H56" s="33" t="n">
        <x:f>IF(H17&gt;0,H47/H17,"n.a.")</x:f>
        <x:v>16326.530612244898</x:v>
      </x:c>
      <x:c r="I56" s="2"/>
      <x:c r="J56" s="33" t="str">
        <x:f>IF(J17&gt;0,J47/J17,"n.a.")</x:f>
        <x:v>n.a.</x:v>
      </x:c>
      <x:c r="K56" s="33" t="str">
        <x:f>IF(K17&gt;0,K47/K17,"n.a.")</x:f>
        <x:v>n.a.</x:v>
      </x:c>
      <x:c r="L56" s="33" t="str">
        <x:f>IF(L17&gt;0,L47/L17,"n.a.")</x:f>
        <x:v>n.a.</x:v>
      </x:c>
      <x:c r="M56" s="33" t="str">
        <x:f>IF(M17&gt;0,M47/M17,"n.a.")</x:f>
        <x:v>n.a.</x:v>
      </x:c>
      <x:c r="N56" s="33" t="str">
        <x:f>IF(N17&gt;0,N47/N17,"n.a.")</x:f>
        <x:v>n.a.</x:v>
      </x:c>
      <x:c r="O56" s="33" t="str">
        <x:f>IF(O17&gt;0,O47/O17,"n.a.")</x:f>
        <x:v>n.a.</x:v>
      </x:c>
      <x:c r="P56" s="33" t="n">
        <x:f>IF(P17&gt;0,P47/P17,"n.a.")</x:f>
        <x:v>25641.02564102564</x:v>
      </x:c>
      <x:c r="Q56" s="33" t="n">
        <x:f>IF(Q17&gt;0,Q47/Q17,"n.a.")</x:f>
        <x:v>25423.728813559323</x:v>
      </x:c>
      <x:c r="R56" s="33" t="n">
        <x:f>IF(R17&gt;0,R47/R17,"n.a.")</x:f>
        <x:v>25000</x:v>
      </x:c>
      <x:c r="S56" s="33" t="n">
        <x:f>IF(S17&gt;0,S47/S17,"n.a.")</x:f>
        <x:v>25000</x:v>
      </x:c>
      <x:c r="T56" s="33" t="n">
        <x:f>IF(T17&gt;0,T47/T17,"n.a.")</x:f>
        <x:v>25000</x:v>
      </x:c>
      <x:c r="U56" s="33" t="n">
        <x:f>IF(U17&gt;0,U47/U17,"n.a.")</x:f>
        <x:v>25000</x:v>
      </x:c>
      <x:c r="V56" s="33" t="n">
        <x:f>IF(V17&gt;0,V47/V17,"n.a.")</x:f>
        <x:v>19047.619047619046</x:v>
      </x:c>
      <x:c r="W56" s="33" t="n">
        <x:f>IF(W17&gt;0,W47/W17,"n.a.")</x:f>
        <x:v>19047.619047619046</x:v>
      </x:c>
      <x:c r="X56" s="33" t="n">
        <x:f>IF(X17&gt;0,X47/X17,"n.a.")</x:f>
        <x:v>19047.619047619046</x:v>
      </x:c>
      <x:c r="Y56" s="33" t="n">
        <x:f>IF(Y17&gt;0,Y47/Y17,"n.a.")</x:f>
        <x:v>19047.619047619046</x:v>
      </x:c>
      <x:c r="Z56" s="33" t="n">
        <x:f>IF(Z17&gt;0,Z47/Z17,"n.a.")</x:f>
        <x:v>19047.619047619046</x:v>
      </x:c>
      <x:c r="AA56" s="33" t="n">
        <x:f>IF(AA17&gt;0,AA47/AA17,"n.a.")</x:f>
        <x:v>19047.619047619046</x:v>
      </x:c>
      <x:c r="AB56" s="33" t="n">
        <x:f>IF(AB17&gt;0,AB47/AB17,"n.a.")</x:f>
        <x:v>19047.619047619046</x:v>
      </x:c>
      <x:c r="AC56" s="33" t="n">
        <x:f>IF(AC17&gt;0,AC47/AC17,"n.a.")</x:f>
        <x:v>19047.619047619046</x:v>
      </x:c>
      <x:c r="AD56" s="33" t="n">
        <x:f>IF(AD17&gt;0,AD47/AD17,"n.a.")</x:f>
        <x:v>19047.619047619046</x:v>
      </x:c>
      <x:c r="AE56" s="33" t="n">
        <x:f>IF(AE17&gt;0,AE47/AE17,"n.a.")</x:f>
        <x:v>19047.619047619046</x:v>
      </x:c>
      <x:c r="AF56" s="33" t="n">
        <x:f>IF(AF17&gt;0,AF47/AF17,"n.a.")</x:f>
        <x:v>19047.619047619046</x:v>
      </x:c>
      <x:c r="AG56" s="33" t="n">
        <x:f>IF(AG17&gt;0,AG47/AG17,"n.a.")</x:f>
        <x:v>19047.619047619046</x:v>
      </x:c>
      <x:c r="AH56" s="33" t="n">
        <x:f>IF(AH17&gt;0,AH47/AH17,"n.a.")</x:f>
        <x:v>16326.530612244898</x:v>
      </x:c>
      <x:c r="AI56" s="33" t="n">
        <x:f>IF(AI17&gt;0,AI47/AI17,"n.a.")</x:f>
        <x:v>16326.530612244898</x:v>
      </x:c>
      <x:c r="AJ56" s="33" t="n">
        <x:f>IF(AJ17&gt;0,AJ47/AJ17,"n.a.")</x:f>
        <x:v>16326.530612244898</x:v>
      </x:c>
      <x:c r="AK56" s="33" t="n">
        <x:f>IF(AK17&gt;0,AK47/AK17,"n.a.")</x:f>
        <x:v>16326.530612244898</x:v>
      </x:c>
      <x:c r="AL56" s="33" t="n">
        <x:f>IF(AL17&gt;0,AL47/AL17,"n.a.")</x:f>
        <x:v>16326.530612244898</x:v>
      </x:c>
      <x:c r="AM56" s="33" t="n">
        <x:f>IF(AM17&gt;0,AM47/AM17,"n.a.")</x:f>
        <x:v>16326.530612244898</x:v>
      </x:c>
      <x:c r="AN56" s="33" t="n">
        <x:f>IF(AN17&gt;0,AN47/AN17,"n.a.")</x:f>
        <x:v>16326.530612244898</x:v>
      </x:c>
      <x:c r="AO56" s="33" t="n">
        <x:f>IF(AO17&gt;0,AO47/AO17,"n.a.")</x:f>
        <x:v>16326.530612244898</x:v>
      </x:c>
      <x:c r="AP56" s="33" t="n">
        <x:f>IF(AP17&gt;0,AP47/AP17,"n.a.")</x:f>
        <x:v>16326.530612244898</x:v>
      </x:c>
      <x:c r="AQ56" s="33" t="n">
        <x:f>IF(AQ17&gt;0,AQ47/AQ17,"n.a.")</x:f>
        <x:v>16326.530612244898</x:v>
      </x:c>
      <x:c r="AR56" s="33" t="n">
        <x:f>IF(AR17&gt;0,AR47/AR17,"n.a.")</x:f>
        <x:v>16326.530612244898</x:v>
      </x:c>
      <x:c r="AS56" s="33" t="n">
        <x:f>IF(AS17&gt;0,AS47/AS17,"n.a.")</x:f>
        <x:v>16326.530612244898</x:v>
      </x:c>
    </x:row>
    <x:row r="57" ht="23" customHeight="1">
      <x:c r="A57" s="2"/>
      <x:c r="B57" s="2"/>
      <x:c r="C57" s="2" t="str">
        <x:v>고정 인건비와 운영비</x:v>
      </x:c>
      <x:c r="D57" s="2" t="str">
        <x:v>원</x:v>
      </x:c>
      <x:c r="E57" s="2"/>
      <x:c r="F57" s="33" t="n">
        <x:f>SUM(J57:U57)</x:f>
        <x:v>186000000</x:v>
      </x:c>
      <x:c r="G57" s="33" t="n">
        <x:f>SUM(V57:AG57)</x:f>
        <x:v>205200000</x:v>
      </x:c>
      <x:c r="H57" s="33" t="n">
        <x:f>SUM(AH57:AS57)</x:f>
        <x:v>288000000</x:v>
      </x:c>
      <x:c r="I57" s="2"/>
      <x:c r="J57" s="33" t="n">
        <x:f>SUM(J49:J50)</x:f>
        <x:v>15500000</x:v>
      </x:c>
      <x:c r="K57" s="33" t="n">
        <x:f>SUM(K49:K50)</x:f>
        <x:v>15500000</x:v>
      </x:c>
      <x:c r="L57" s="33" t="n">
        <x:f>SUM(L49:L50)</x:f>
        <x:v>15500000</x:v>
      </x:c>
      <x:c r="M57" s="33" t="n">
        <x:f>SUM(M49:M50)</x:f>
        <x:v>15500000</x:v>
      </x:c>
      <x:c r="N57" s="33" t="n">
        <x:f>SUM(N49:N50)</x:f>
        <x:v>15500000</x:v>
      </x:c>
      <x:c r="O57" s="33" t="n">
        <x:f>SUM(O49:O50)</x:f>
        <x:v>15500000</x:v>
      </x:c>
      <x:c r="P57" s="33" t="n">
        <x:f>SUM(P49:P50)</x:f>
        <x:v>15500000</x:v>
      </x:c>
      <x:c r="Q57" s="33" t="n">
        <x:f>SUM(Q49:Q50)</x:f>
        <x:v>15500000</x:v>
      </x:c>
      <x:c r="R57" s="33" t="n">
        <x:f>SUM(R49:R50)</x:f>
        <x:v>15500000</x:v>
      </x:c>
      <x:c r="S57" s="33" t="n">
        <x:f>SUM(S49:S50)</x:f>
        <x:v>15500000</x:v>
      </x:c>
      <x:c r="T57" s="33" t="n">
        <x:f>SUM(T49:T50)</x:f>
        <x:v>15500000</x:v>
      </x:c>
      <x:c r="U57" s="33" t="n">
        <x:f>SUM(U49:U50)</x:f>
        <x:v>15500000</x:v>
      </x:c>
      <x:c r="V57" s="33" t="n">
        <x:f>SUM(V49:V50)</x:f>
        <x:v>17100000</x:v>
      </x:c>
      <x:c r="W57" s="33" t="n">
        <x:f>SUM(W49:W50)</x:f>
        <x:v>17100000</x:v>
      </x:c>
      <x:c r="X57" s="33" t="n">
        <x:f>SUM(X49:X50)</x:f>
        <x:v>17100000</x:v>
      </x:c>
      <x:c r="Y57" s="33" t="n">
        <x:f>SUM(Y49:Y50)</x:f>
        <x:v>17100000</x:v>
      </x:c>
      <x:c r="Z57" s="33" t="n">
        <x:f>SUM(Z49:Z50)</x:f>
        <x:v>17100000</x:v>
      </x:c>
      <x:c r="AA57" s="33" t="n">
        <x:f>SUM(AA49:AA50)</x:f>
        <x:v>17100000</x:v>
      </x:c>
      <x:c r="AB57" s="33" t="n">
        <x:f>SUM(AB49:AB50)</x:f>
        <x:v>17100000</x:v>
      </x:c>
      <x:c r="AC57" s="33" t="n">
        <x:f>SUM(AC49:AC50)</x:f>
        <x:v>17100000</x:v>
      </x:c>
      <x:c r="AD57" s="33" t="n">
        <x:f>SUM(AD49:AD50)</x:f>
        <x:v>17100000</x:v>
      </x:c>
      <x:c r="AE57" s="33" t="n">
        <x:f>SUM(AE49:AE50)</x:f>
        <x:v>17100000</x:v>
      </x:c>
      <x:c r="AF57" s="33" t="n">
        <x:f>SUM(AF49:AF50)</x:f>
        <x:v>17100000</x:v>
      </x:c>
      <x:c r="AG57" s="33" t="n">
        <x:f>SUM(AG49:AG50)</x:f>
        <x:v>17100000</x:v>
      </x:c>
      <x:c r="AH57" s="33" t="n">
        <x:f>SUM(AH49:AH50)</x:f>
        <x:v>24000000</x:v>
      </x:c>
      <x:c r="AI57" s="33" t="n">
        <x:f>SUM(AI49:AI50)</x:f>
        <x:v>24000000</x:v>
      </x:c>
      <x:c r="AJ57" s="33" t="n">
        <x:f>SUM(AJ49:AJ50)</x:f>
        <x:v>24000000</x:v>
      </x:c>
      <x:c r="AK57" s="33" t="n">
        <x:f>SUM(AK49:AK50)</x:f>
        <x:v>24000000</x:v>
      </x:c>
      <x:c r="AL57" s="33" t="n">
        <x:f>SUM(AL49:AL50)</x:f>
        <x:v>24000000</x:v>
      </x:c>
      <x:c r="AM57" s="33" t="n">
        <x:f>SUM(AM49:AM50)</x:f>
        <x:v>24000000</x:v>
      </x:c>
      <x:c r="AN57" s="33" t="n">
        <x:f>SUM(AN49:AN50)</x:f>
        <x:v>24000000</x:v>
      </x:c>
      <x:c r="AO57" s="33" t="n">
        <x:f>SUM(AO49:AO50)</x:f>
        <x:v>24000000</x:v>
      </x:c>
      <x:c r="AP57" s="33" t="n">
        <x:f>SUM(AP49:AP50)</x:f>
        <x:v>24000000</x:v>
      </x:c>
      <x:c r="AQ57" s="33" t="n">
        <x:f>SUM(AQ49:AQ50)</x:f>
        <x:v>24000000</x:v>
      </x:c>
      <x:c r="AR57" s="33" t="n">
        <x:f>SUM(AR49:AR50)</x:f>
        <x:v>24000000</x:v>
      </x:c>
      <x:c r="AS57" s="33" t="n">
        <x:f>SUM(AS49:AS50)</x:f>
        <x:v>24000000</x:v>
      </x:c>
    </x:row>
    <x:row r="58" ht="23"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ht="23"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ht="36" customHeight="1">
      <x:c r="A60" s="2"/>
      <x:c r="B60" s="2"/>
      <x:c r="C60" s="13" t="str">
        <x:v>순매출은 VAT와 예상 환불 차감 후 금액입니다. 리필은 DTC 비환불 고객만 다음 달부터 참여합니다. 기대 고객 수는 소수일 수 있습니다.</x:v>
      </x:c>
      <x:c r="D60" s="13"/>
      <x:c r="E60" s="13"/>
      <x:c r="F60" s="13"/>
      <x:c r="G60" s="13"/>
      <x:c r="H60" s="13"/>
      <x:c r="I60" s="13"/>
      <x:c r="J60" s="13"/>
      <x:c r="K60" s="13"/>
      <x:c r="L60" s="13"/>
      <x:c r="M60" s="13"/>
      <x:c r="N60" s="13"/>
      <x:c r="O60" s="13"/>
      <x:c r="P60" s="13"/>
      <x:c r="Q60" s="13"/>
      <x:c r="R60" s="13"/>
      <x:c r="S60" s="13"/>
      <x:c r="T60" s="13"/>
      <x:c r="U60" s="13"/>
      <x:c r="V60" s="13"/>
      <x:c r="W60" s="13"/>
      <x:c r="X60" s="13"/>
      <x:c r="Y60" s="13"/>
      <x:c r="Z60" s="13"/>
      <x:c r="AA60" s="13"/>
      <x:c r="AB60" s="13"/>
      <x:c r="AC60" s="13"/>
      <x:c r="AD60" s="13"/>
      <x:c r="AE60" s="13"/>
      <x:c r="AF60" s="13"/>
      <x:c r="AG60" s="13"/>
      <x:c r="AH60" s="13"/>
      <x:c r="AI60" s="13"/>
      <x:c r="AJ60" s="13"/>
      <x:c r="AK60" s="13"/>
      <x:c r="AL60" s="13"/>
      <x:c r="AM60" s="13"/>
      <x:c r="AN60" s="13"/>
      <x:c r="AO60" s="13"/>
      <x:c r="AP60" s="13"/>
      <x:c r="AQ60" s="13"/>
      <x:c r="AR60" s="13"/>
      <x:c r="AS60" s="13"/>
    </x:row>
    <x:row r="61" ht="23"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ht="36" customHeight="1">
      <x:c r="A62" s="2"/>
      <x:c r="B62" s="2"/>
      <x:c r="C62" s="13" t="str">
        <x:v>인건비는 회사 지원과 관계없이 전액 반영합니다. 광고 비용과 유료 CAC를 이중 차감하지 않습니다. 매출원가는 재고 이동평균법으로 연결합니다.</x:v>
      </x:c>
      <x:c r="D62" s="13"/>
      <x:c r="E62" s="13"/>
      <x:c r="F62" s="13"/>
      <x:c r="G62" s="13"/>
      <x:c r="H62" s="13"/>
      <x:c r="I62" s="13"/>
      <x:c r="J62" s="13"/>
      <x:c r="K62" s="13"/>
      <x:c r="L62" s="13"/>
      <x:c r="M62" s="13"/>
      <x:c r="N62" s="13"/>
      <x:c r="O62" s="13"/>
      <x:c r="P62" s="13"/>
      <x:c r="Q62" s="13"/>
      <x:c r="R62" s="13"/>
      <x:c r="S62" s="13"/>
      <x:c r="T62" s="13"/>
      <x:c r="U62" s="13"/>
      <x:c r="V62" s="13"/>
      <x:c r="W62" s="13"/>
      <x:c r="X62" s="13"/>
      <x:c r="Y62" s="13"/>
      <x:c r="Z62" s="13"/>
      <x:c r="AA62" s="13"/>
      <x:c r="AB62" s="13"/>
      <x:c r="AC62" s="13"/>
      <x:c r="AD62" s="13"/>
      <x:c r="AE62" s="13"/>
      <x:c r="AF62" s="13"/>
      <x:c r="AG62" s="13"/>
      <x:c r="AH62" s="13"/>
      <x:c r="AI62" s="13"/>
      <x:c r="AJ62" s="13"/>
      <x:c r="AK62" s="13"/>
      <x:c r="AL62" s="13"/>
      <x:c r="AM62" s="13"/>
      <x:c r="AN62" s="13"/>
      <x:c r="AO62" s="13"/>
      <x:c r="AP62" s="13"/>
      <x:c r="AQ62" s="13"/>
      <x:c r="AR62" s="13"/>
      <x:c r="AS62" s="13"/>
    </x:row>
    <x:row r="63" ht="23"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ht="23"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sheetData>
  <x:mergeCells>
    <x:mergeCell ref="C60:AS60"/>
    <x:mergeCell ref="C62:AS62"/>
  </x:mergeCells>
  <x:pageMargins left="0.7" right="0.7" top="0.75" bottom="0.75" header="0.3" footer="0.3"/>
</x:worksheet>
</file>

<file path=xl/worksheets/sheet5.xml><?xml version="1.0" encoding="utf-8"?>
<x:worksheet xmlns:x="http://schemas.openxmlformats.org/spreadsheetml/2006/main">
  <x:sheetPr>
    <x:tabColor rgb="FFBCC8D3"/>
  </x:sheetPr>
  <x:sheetViews>
    <x:sheetView showGridLines="0" workbookViewId="0">
      <x:pane xSplit="3" ySplit="6" topLeftCell="D7" activePane="bottomRight" state="frozen"/>
    </x:sheetView>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17" hidden="0" customWidth="1"/>
    <x:col min="8" max="8" width="17" hidden="0" customWidth="1"/>
    <x:col min="9" max="9" width="3"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row>
    <x:row r="2" ht="35" customHeight="1">
      <x:c r="A2" s="2"/>
      <x:c r="B2" s="2"/>
      <x:c r="C2" s="3" t="str">
        <x:v>발주 재고와 36개월 현금 계획</x:v>
      </x:c>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ht="23"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ht="23" customHeight="1">
      <x:c r="A4" s="2"/>
      <x:c r="B4" s="2"/>
      <x:c r="C4" s="2" t="str">
        <x:v>선택 시나리오</x:v>
      </x:c>
      <x:c r="D4" s="2"/>
      <x:c r="E4" s="2"/>
      <x:c r="F4" s="51" t="str">
        <x:f>'01_가정'!H4</x:f>
        <x:v>기준</x:v>
      </x:c>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ht="30" customHeight="1">
      <x:c r="A5" s="2"/>
      <x:c r="B5" s="2"/>
      <x:c r="C5" s="2"/>
      <x:c r="D5" s="2"/>
      <x:c r="E5" s="2"/>
      <x:c r="F5" s="17" t="str">
        <x:v>1년차</x:v>
      </x:c>
      <x:c r="G5" s="17" t="str">
        <x:v>2년차</x:v>
      </x:c>
      <x:c r="H5" s="17" t="str">
        <x:v>3년차</x:v>
      </x:c>
      <x:c r="I5" s="2"/>
      <x:c r="J5" s="41" t="n">
        <x:f>EDATE('01_가정'!$F$5,0)</x:f>
        <x:v>46388</x:v>
      </x:c>
      <x:c r="K5" s="41" t="n">
        <x:f>EDATE('01_가정'!$F$5,1)</x:f>
        <x:v>46419</x:v>
      </x:c>
      <x:c r="L5" s="41" t="n">
        <x:f>EDATE('01_가정'!$F$5,2)</x:f>
        <x:v>46447</x:v>
      </x:c>
      <x:c r="M5" s="41" t="n">
        <x:f>EDATE('01_가정'!$F$5,3)</x:f>
        <x:v>46478</x:v>
      </x:c>
      <x:c r="N5" s="41" t="n">
        <x:f>EDATE('01_가정'!$F$5,4)</x:f>
        <x:v>46508</x:v>
      </x:c>
      <x:c r="O5" s="41" t="n">
        <x:f>EDATE('01_가정'!$F$5,5)</x:f>
        <x:v>46539</x:v>
      </x:c>
      <x:c r="P5" s="41" t="n">
        <x:f>EDATE('01_가정'!$F$5,6)</x:f>
        <x:v>46569</x:v>
      </x:c>
      <x:c r="Q5" s="41" t="n">
        <x:f>EDATE('01_가정'!$F$5,7)</x:f>
        <x:v>46600</x:v>
      </x:c>
      <x:c r="R5" s="41" t="n">
        <x:f>EDATE('01_가정'!$F$5,8)</x:f>
        <x:v>46631</x:v>
      </x:c>
      <x:c r="S5" s="41" t="n">
        <x:f>EDATE('01_가정'!$F$5,9)</x:f>
        <x:v>46661</x:v>
      </x:c>
      <x:c r="T5" s="41" t="n">
        <x:f>EDATE('01_가정'!$F$5,10)</x:f>
        <x:v>46692</x:v>
      </x:c>
      <x:c r="U5" s="41" t="n">
        <x:f>EDATE('01_가정'!$F$5,11)</x:f>
        <x:v>46722</x:v>
      </x:c>
      <x:c r="V5" s="41" t="n">
        <x:f>EDATE('01_가정'!$F$5,12)</x:f>
        <x:v>46753</x:v>
      </x:c>
      <x:c r="W5" s="41" t="n">
        <x:f>EDATE('01_가정'!$F$5,13)</x:f>
        <x:v>46784</x:v>
      </x:c>
      <x:c r="X5" s="41" t="n">
        <x:f>EDATE('01_가정'!$F$5,14)</x:f>
        <x:v>46813</x:v>
      </x:c>
      <x:c r="Y5" s="41" t="n">
        <x:f>EDATE('01_가정'!$F$5,15)</x:f>
        <x:v>46844</x:v>
      </x:c>
      <x:c r="Z5" s="41" t="n">
        <x:f>EDATE('01_가정'!$F$5,16)</x:f>
        <x:v>46874</x:v>
      </x:c>
      <x:c r="AA5" s="41" t="n">
        <x:f>EDATE('01_가정'!$F$5,17)</x:f>
        <x:v>46905</x:v>
      </x:c>
      <x:c r="AB5" s="41" t="n">
        <x:f>EDATE('01_가정'!$F$5,18)</x:f>
        <x:v>46935</x:v>
      </x:c>
      <x:c r="AC5" s="41" t="n">
        <x:f>EDATE('01_가정'!$F$5,19)</x:f>
        <x:v>46966</x:v>
      </x:c>
      <x:c r="AD5" s="41" t="n">
        <x:f>EDATE('01_가정'!$F$5,20)</x:f>
        <x:v>46997</x:v>
      </x:c>
      <x:c r="AE5" s="41" t="n">
        <x:f>EDATE('01_가정'!$F$5,21)</x:f>
        <x:v>47027</x:v>
      </x:c>
      <x:c r="AF5" s="41" t="n">
        <x:f>EDATE('01_가정'!$F$5,22)</x:f>
        <x:v>47058</x:v>
      </x:c>
      <x:c r="AG5" s="41" t="n">
        <x:f>EDATE('01_가정'!$F$5,23)</x:f>
        <x:v>47088</x:v>
      </x:c>
      <x:c r="AH5" s="41" t="n">
        <x:f>EDATE('01_가정'!$F$5,24)</x:f>
        <x:v>47119</x:v>
      </x:c>
      <x:c r="AI5" s="41" t="n">
        <x:f>EDATE('01_가정'!$F$5,25)</x:f>
        <x:v>47150</x:v>
      </x:c>
      <x:c r="AJ5" s="41" t="n">
        <x:f>EDATE('01_가정'!$F$5,26)</x:f>
        <x:v>47178</x:v>
      </x:c>
      <x:c r="AK5" s="41" t="n">
        <x:f>EDATE('01_가정'!$F$5,27)</x:f>
        <x:v>47209</x:v>
      </x:c>
      <x:c r="AL5" s="41" t="n">
        <x:f>EDATE('01_가정'!$F$5,28)</x:f>
        <x:v>47239</x:v>
      </x:c>
      <x:c r="AM5" s="41" t="n">
        <x:f>EDATE('01_가정'!$F$5,29)</x:f>
        <x:v>47270</x:v>
      </x:c>
      <x:c r="AN5" s="41" t="n">
        <x:f>EDATE('01_가정'!$F$5,30)</x:f>
        <x:v>47300</x:v>
      </x:c>
      <x:c r="AO5" s="41" t="n">
        <x:f>EDATE('01_가정'!$F$5,31)</x:f>
        <x:v>47331</x:v>
      </x:c>
      <x:c r="AP5" s="41" t="n">
        <x:f>EDATE('01_가정'!$F$5,32)</x:f>
        <x:v>47362</x:v>
      </x:c>
      <x:c r="AQ5" s="41" t="n">
        <x:f>EDATE('01_가정'!$F$5,33)</x:f>
        <x:v>47392</x:v>
      </x:c>
      <x:c r="AR5" s="41" t="n">
        <x:f>EDATE('01_가정'!$F$5,34)</x:f>
        <x:v>47423</x:v>
      </x:c>
      <x:c r="AS5" s="41" t="n">
        <x:f>EDATE('01_가정'!$F$5,35)</x:f>
        <x:v>47453</x:v>
      </x:c>
    </x:row>
    <x:row r="6" ht="23" customHeight="1">
      <x:c r="A6" s="2"/>
      <x:c r="B6" s="2"/>
      <x:c r="C6" s="2"/>
      <x:c r="D6" s="2"/>
      <x:c r="E6" s="2"/>
      <x:c r="F6" s="2"/>
      <x:c r="G6" s="2"/>
      <x:c r="H6" s="2"/>
      <x:c r="I6" s="2"/>
      <x:c r="J6" s="2" t="n">
        <x:v>1</x:v>
      </x:c>
      <x:c r="K6" s="2" t="n">
        <x:v>2</x:v>
      </x:c>
      <x:c r="L6" s="2" t="n">
        <x:v>3</x:v>
      </x:c>
      <x:c r="M6" s="2" t="n">
        <x:v>4</x:v>
      </x:c>
      <x:c r="N6" s="2" t="n">
        <x:v>5</x:v>
      </x:c>
      <x:c r="O6" s="2" t="n">
        <x:v>6</x:v>
      </x:c>
      <x:c r="P6" s="2" t="n">
        <x:v>7</x:v>
      </x:c>
      <x:c r="Q6" s="2" t="n">
        <x:v>8</x:v>
      </x:c>
      <x:c r="R6" s="2" t="n">
        <x:v>9</x:v>
      </x:c>
      <x:c r="S6" s="2" t="n">
        <x:v>10</x:v>
      </x:c>
      <x:c r="T6" s="2" t="n">
        <x:v>11</x:v>
      </x:c>
      <x:c r="U6" s="2" t="n">
        <x:v>12</x:v>
      </x:c>
      <x:c r="V6" s="2" t="n">
        <x:v>13</x:v>
      </x:c>
      <x:c r="W6" s="2" t="n">
        <x:v>14</x:v>
      </x:c>
      <x:c r="X6" s="2" t="n">
        <x:v>15</x:v>
      </x:c>
      <x:c r="Y6" s="2" t="n">
        <x:v>16</x:v>
      </x:c>
      <x:c r="Z6" s="2" t="n">
        <x:v>17</x:v>
      </x:c>
      <x:c r="AA6" s="2" t="n">
        <x:v>18</x:v>
      </x:c>
      <x:c r="AB6" s="2" t="n">
        <x:v>19</x:v>
      </x:c>
      <x:c r="AC6" s="2" t="n">
        <x:v>20</x:v>
      </x:c>
      <x:c r="AD6" s="2" t="n">
        <x:v>21</x:v>
      </x:c>
      <x:c r="AE6" s="2" t="n">
        <x:v>22</x:v>
      </x:c>
      <x:c r="AF6" s="2" t="n">
        <x:v>23</x:v>
      </x:c>
      <x:c r="AG6" s="2" t="n">
        <x:v>24</x:v>
      </x:c>
      <x:c r="AH6" s="2" t="n">
        <x:v>25</x:v>
      </x:c>
      <x:c r="AI6" s="2" t="n">
        <x:v>26</x:v>
      </x:c>
      <x:c r="AJ6" s="2" t="n">
        <x:v>27</x:v>
      </x:c>
      <x:c r="AK6" s="2" t="n">
        <x:v>28</x:v>
      </x:c>
      <x:c r="AL6" s="2" t="n">
        <x:v>29</x:v>
      </x:c>
      <x:c r="AM6" s="2" t="n">
        <x:v>30</x:v>
      </x:c>
      <x:c r="AN6" s="2" t="n">
        <x:v>31</x:v>
      </x:c>
      <x:c r="AO6" s="2" t="n">
        <x:v>32</x:v>
      </x:c>
      <x:c r="AP6" s="2" t="n">
        <x:v>33</x:v>
      </x:c>
      <x:c r="AQ6" s="2" t="n">
        <x:v>34</x:v>
      </x:c>
      <x:c r="AR6" s="2" t="n">
        <x:v>35</x:v>
      </x:c>
      <x:c r="AS6" s="2" t="n">
        <x:v>36</x:v>
      </x:c>
    </x:row>
    <x:row r="7" ht="23"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ht="23" customHeight="1">
      <x:c r="A8" s="2"/>
      <x:c r="B8" s="2"/>
      <x:c r="C8" s="2" t="str">
        <x:v>본체 출고</x:v>
      </x:c>
      <x:c r="D8" s="2" t="str">
        <x:v>개</x:v>
      </x:c>
      <x:c r="E8" s="2"/>
      <x:c r="F8" s="33" t="n">
        <x:f>SUM(J8:U8)</x:f>
        <x:v>418</x:v>
      </x:c>
      <x:c r="G8" s="33" t="n">
        <x:f>SUM(V8:AG8)</x:f>
        <x:v>3780</x:v>
      </x:c>
      <x:c r="H8" s="33" t="n">
        <x:f>SUM(AH8:AS8)</x:f>
        <x:v>8820</x:v>
      </x:c>
      <x:c r="I8" s="2"/>
      <x:c r="J8" s="31" t="n">
        <x:f>'03_월별손익'!J19</x:f>
        <x:v>0</x:v>
      </x:c>
      <x:c r="K8" s="31" t="n">
        <x:f>'03_월별손익'!K19</x:f>
        <x:v>0</x:v>
      </x:c>
      <x:c r="L8" s="31" t="n">
        <x:f>'03_월별손익'!L19</x:f>
        <x:v>0</x:v>
      </x:c>
      <x:c r="M8" s="31" t="n">
        <x:f>'03_월별손익'!M19</x:f>
        <x:v>0</x:v>
      </x:c>
      <x:c r="N8" s="31" t="n">
        <x:f>'03_월별손익'!N19</x:f>
        <x:v>0</x:v>
      </x:c>
      <x:c r="O8" s="31" t="n">
        <x:f>'03_월별손익'!O19</x:f>
        <x:v>0</x:v>
      </x:c>
      <x:c r="P8" s="31" t="n">
        <x:f>'03_월별손익'!P19</x:f>
        <x:v>39</x:v>
      </x:c>
      <x:c r="Q8" s="31" t="n">
        <x:f>'03_월별손익'!Q19</x:f>
        <x:v>59</x:v>
      </x:c>
      <x:c r="R8" s="31" t="n">
        <x:f>'03_월별손익'!R19</x:f>
        <x:v>80</x:v>
      </x:c>
      <x:c r="S8" s="31" t="n">
        <x:f>'03_월별손익'!S19</x:f>
        <x:v>80</x:v>
      </x:c>
      <x:c r="T8" s="31" t="n">
        <x:f>'03_월별손익'!T19</x:f>
        <x:v>80</x:v>
      </x:c>
      <x:c r="U8" s="31" t="n">
        <x:f>'03_월별손익'!U19</x:f>
        <x:v>80</x:v>
      </x:c>
      <x:c r="V8" s="31" t="n">
        <x:f>'03_월별손익'!V19</x:f>
        <x:v>315</x:v>
      </x:c>
      <x:c r="W8" s="31" t="n">
        <x:f>'03_월별손익'!W19</x:f>
        <x:v>315</x:v>
      </x:c>
      <x:c r="X8" s="31" t="n">
        <x:f>'03_월별손익'!X19</x:f>
        <x:v>315</x:v>
      </x:c>
      <x:c r="Y8" s="31" t="n">
        <x:f>'03_월별손익'!Y19</x:f>
        <x:v>315</x:v>
      </x:c>
      <x:c r="Z8" s="31" t="n">
        <x:f>'03_월별손익'!Z19</x:f>
        <x:v>315</x:v>
      </x:c>
      <x:c r="AA8" s="31" t="n">
        <x:f>'03_월별손익'!AA19</x:f>
        <x:v>315</x:v>
      </x:c>
      <x:c r="AB8" s="31" t="n">
        <x:f>'03_월별손익'!AB19</x:f>
        <x:v>315</x:v>
      </x:c>
      <x:c r="AC8" s="31" t="n">
        <x:f>'03_월별손익'!AC19</x:f>
        <x:v>315</x:v>
      </x:c>
      <x:c r="AD8" s="31" t="n">
        <x:f>'03_월별손익'!AD19</x:f>
        <x:v>315</x:v>
      </x:c>
      <x:c r="AE8" s="31" t="n">
        <x:f>'03_월별손익'!AE19</x:f>
        <x:v>315</x:v>
      </x:c>
      <x:c r="AF8" s="31" t="n">
        <x:f>'03_월별손익'!AF19</x:f>
        <x:v>315</x:v>
      </x:c>
      <x:c r="AG8" s="31" t="n">
        <x:f>'03_월별손익'!AG19</x:f>
        <x:v>315</x:v>
      </x:c>
      <x:c r="AH8" s="31" t="n">
        <x:f>'03_월별손익'!AH19</x:f>
        <x:v>735</x:v>
      </x:c>
      <x:c r="AI8" s="31" t="n">
        <x:f>'03_월별손익'!AI19</x:f>
        <x:v>735</x:v>
      </x:c>
      <x:c r="AJ8" s="31" t="n">
        <x:f>'03_월별손익'!AJ19</x:f>
        <x:v>735</x:v>
      </x:c>
      <x:c r="AK8" s="31" t="n">
        <x:f>'03_월별손익'!AK19</x:f>
        <x:v>735</x:v>
      </x:c>
      <x:c r="AL8" s="31" t="n">
        <x:f>'03_월별손익'!AL19</x:f>
        <x:v>735</x:v>
      </x:c>
      <x:c r="AM8" s="31" t="n">
        <x:f>'03_월별손익'!AM19</x:f>
        <x:v>735</x:v>
      </x:c>
      <x:c r="AN8" s="31" t="n">
        <x:f>'03_월별손익'!AN19</x:f>
        <x:v>735</x:v>
      </x:c>
      <x:c r="AO8" s="31" t="n">
        <x:f>'03_월별손익'!AO19</x:f>
        <x:v>735</x:v>
      </x:c>
      <x:c r="AP8" s="31" t="n">
        <x:f>'03_월별손익'!AP19</x:f>
        <x:v>735</x:v>
      </x:c>
      <x:c r="AQ8" s="31" t="n">
        <x:f>'03_월별손익'!AQ19</x:f>
        <x:v>735</x:v>
      </x:c>
      <x:c r="AR8" s="31" t="n">
        <x:f>'03_월별손익'!AR19</x:f>
        <x:v>735</x:v>
      </x:c>
      <x:c r="AS8" s="31" t="n">
        <x:f>'03_월별손익'!AS19</x:f>
        <x:v>735</x:v>
      </x:c>
    </x:row>
    <x:row r="9" ht="23" customHeight="1">
      <x:c r="A9" s="2"/>
      <x:c r="B9" s="2"/>
      <x:c r="C9" s="2" t="str">
        <x:v>기초 재고 수량</x:v>
      </x:c>
      <x:c r="D9" s="2" t="str">
        <x:v>개</x:v>
      </x:c>
      <x:c r="E9" s="2"/>
      <x:c r="F9" s="33" t="n">
        <x:f>J9</x:f>
        <x:v>0</x:v>
      </x:c>
      <x:c r="G9" s="33" t="n">
        <x:f>V9</x:f>
        <x:v>182</x:v>
      </x:c>
      <x:c r="H9" s="33" t="n">
        <x:f>AH9</x:f>
        <x:v>302</x:v>
      </x:c>
      <x:c r="I9" s="2"/>
      <x:c r="J9" s="33" t="n">
        <x:f>0</x:f>
        <x:v>0</x:v>
      </x:c>
      <x:c r="K9" s="33" t="n">
        <x:f>J11</x:f>
        <x:v>0</x:v>
      </x:c>
      <x:c r="L9" s="33" t="n">
        <x:f>K11</x:f>
        <x:v>0</x:v>
      </x:c>
      <x:c r="M9" s="33" t="n">
        <x:f>L11</x:f>
        <x:v>0</x:v>
      </x:c>
      <x:c r="N9" s="33" t="n">
        <x:f>M11</x:f>
        <x:v>0</x:v>
      </x:c>
      <x:c r="O9" s="33" t="n">
        <x:f>N11</x:f>
        <x:v>0</x:v>
      </x:c>
      <x:c r="P9" s="33" t="n">
        <x:f>O11</x:f>
        <x:v>0</x:v>
      </x:c>
      <x:c r="Q9" s="33" t="n">
        <x:f>P11</x:f>
        <x:v>261</x:v>
      </x:c>
      <x:c r="R9" s="33" t="n">
        <x:f>Q11</x:f>
        <x:v>202</x:v>
      </x:c>
      <x:c r="S9" s="33" t="n">
        <x:f>R11</x:f>
        <x:v>122</x:v>
      </x:c>
      <x:c r="T9" s="33" t="n">
        <x:f>S11</x:f>
        <x:v>342</x:v>
      </x:c>
      <x:c r="U9" s="33" t="n">
        <x:f>T11</x:f>
        <x:v>262</x:v>
      </x:c>
      <x:c r="V9" s="33" t="n">
        <x:f>U11</x:f>
        <x:v>182</x:v>
      </x:c>
      <x:c r="W9" s="33" t="n">
        <x:f>V11</x:f>
        <x:v>767</x:v>
      </x:c>
      <x:c r="X9" s="33" t="n">
        <x:f>W11</x:f>
        <x:v>452</x:v>
      </x:c>
      <x:c r="Y9" s="33" t="n">
        <x:f>X11</x:f>
        <x:v>137</x:v>
      </x:c>
      <x:c r="Z9" s="33" t="n">
        <x:f>Y11</x:f>
        <x:v>1022</x:v>
      </x:c>
      <x:c r="AA9" s="33" t="n">
        <x:f>Z11</x:f>
        <x:v>707</x:v>
      </x:c>
      <x:c r="AB9" s="33" t="n">
        <x:f>AA11</x:f>
        <x:v>392</x:v>
      </x:c>
      <x:c r="AC9" s="33" t="n">
        <x:f>AB11</x:f>
        <x:v>977</x:v>
      </x:c>
      <x:c r="AD9" s="33" t="n">
        <x:f>AC11</x:f>
        <x:v>662</x:v>
      </x:c>
      <x:c r="AE9" s="33" t="n">
        <x:f>AD11</x:f>
        <x:v>347</x:v>
      </x:c>
      <x:c r="AF9" s="33" t="n">
        <x:f>AE11</x:f>
        <x:v>932</x:v>
      </x:c>
      <x:c r="AG9" s="33" t="n">
        <x:f>AF11</x:f>
        <x:v>617</x:v>
      </x:c>
      <x:c r="AH9" s="33" t="n">
        <x:f>AG11</x:f>
        <x:v>302</x:v>
      </x:c>
      <x:c r="AI9" s="33" t="n">
        <x:f>AH11</x:f>
        <x:v>1667</x:v>
      </x:c>
      <x:c r="AJ9" s="33" t="n">
        <x:f>AI11</x:f>
        <x:v>932</x:v>
      </x:c>
      <x:c r="AK9" s="33" t="n">
        <x:f>AJ11</x:f>
        <x:v>197</x:v>
      </x:c>
      <x:c r="AL9" s="33" t="n">
        <x:f>AK11</x:f>
        <x:v>1862</x:v>
      </x:c>
      <x:c r="AM9" s="33" t="n">
        <x:f>AL11</x:f>
        <x:v>1127</x:v>
      </x:c>
      <x:c r="AN9" s="33" t="n">
        <x:f>AM11</x:f>
        <x:v>392</x:v>
      </x:c>
      <x:c r="AO9" s="33" t="n">
        <x:f>AN11</x:f>
        <x:v>1757</x:v>
      </x:c>
      <x:c r="AP9" s="33" t="n">
        <x:f>AO11</x:f>
        <x:v>1022</x:v>
      </x:c>
      <x:c r="AQ9" s="33" t="n">
        <x:f>AP11</x:f>
        <x:v>287</x:v>
      </x:c>
      <x:c r="AR9" s="33" t="n">
        <x:f>AQ11</x:f>
        <x:v>1652</x:v>
      </x:c>
      <x:c r="AS9" s="33" t="n">
        <x:f>AR11</x:f>
        <x:v>917</x:v>
      </x:c>
    </x:row>
    <x:row r="10" ht="23" customHeight="1">
      <x:c r="A10" s="2"/>
      <x:c r="B10" s="2"/>
      <x:c r="C10" s="2" t="str">
        <x:v>제품 입고 수량</x:v>
      </x:c>
      <x:c r="D10" s="2" t="str">
        <x:v>개</x:v>
      </x:c>
      <x:c r="E10" s="2"/>
      <x:c r="F10" s="33" t="n">
        <x:f>SUM(J10:U10)</x:f>
        <x:v>600</x:v>
      </x:c>
      <x:c r="G10" s="33" t="n">
        <x:f>SUM(V10:AG10)</x:f>
        <x:v>3900</x:v>
      </x:c>
      <x:c r="H10" s="33" t="n">
        <x:f>SUM(AH10:AS10)</x:f>
        <x:v>8700</x:v>
      </x:c>
      <x:c r="I10" s="2"/>
      <x:c r="J10" s="31" t="n">
        <x:f>IF(AND(J$6&gt;='01_가정'!F46,MOD(J$6-'01_가정'!F46,3)=0),MAX(0,ROUNDUP((SUM('03_월별손익'!J19:L19)+'01_가정'!$F$100-J9)/'01_가정'!$F$99,0)*'01_가정'!$F$99),0)</x:f>
        <x:v>0</x:v>
      </x:c>
      <x:c r="K10" s="31" t="n">
        <x:f>IF(AND(K$6&gt;='01_가정'!F46,MOD(K$6-'01_가정'!F46,3)=0),MAX(0,ROUNDUP((SUM('03_월별손익'!K19:M19)+'01_가정'!$F$100-K9)/'01_가정'!$F$99,0)*'01_가정'!$F$99),0)</x:f>
        <x:v>0</x:v>
      </x:c>
      <x:c r="L10" s="31" t="n">
        <x:f>IF(AND(L$6&gt;='01_가정'!F46,MOD(L$6-'01_가정'!F46,3)=0),MAX(0,ROUNDUP((SUM('03_월별손익'!L19:N19)+'01_가정'!$F$100-L9)/'01_가정'!$F$99,0)*'01_가정'!$F$99),0)</x:f>
        <x:v>0</x:v>
      </x:c>
      <x:c r="M10" s="31" t="n">
        <x:f>IF(AND(M$6&gt;='01_가정'!F46,MOD(M$6-'01_가정'!F46,3)=0),MAX(0,ROUNDUP((SUM('03_월별손익'!M19:O19)+'01_가정'!$F$100-M9)/'01_가정'!$F$99,0)*'01_가정'!$F$99),0)</x:f>
        <x:v>0</x:v>
      </x:c>
      <x:c r="N10" s="31" t="n">
        <x:f>IF(AND(N$6&gt;='01_가정'!F46,MOD(N$6-'01_가정'!F46,3)=0),MAX(0,ROUNDUP((SUM('03_월별손익'!N19:P19)+'01_가정'!$F$100-N9)/'01_가정'!$F$99,0)*'01_가정'!$F$99),0)</x:f>
        <x:v>0</x:v>
      </x:c>
      <x:c r="O10" s="31" t="n">
        <x:f>IF(AND(O$6&gt;='01_가정'!F46,MOD(O$6-'01_가정'!F46,3)=0),MAX(0,ROUNDUP((SUM('03_월별손익'!O19:Q19)+'01_가정'!$F$100-O9)/'01_가정'!$F$99,0)*'01_가정'!$F$99),0)</x:f>
        <x:v>0</x:v>
      </x:c>
      <x:c r="P10" s="31" t="n">
        <x:f>IF(AND(P$6&gt;='01_가정'!F46,MOD(P$6-'01_가정'!F46,3)=0),MAX(0,ROUNDUP((SUM('03_월별손익'!P19:R19)+'01_가정'!$F$100-P9)/'01_가정'!$F$99,0)*'01_가정'!$F$99),0)</x:f>
        <x:v>300</x:v>
      </x:c>
      <x:c r="Q10" s="31" t="n">
        <x:f>IF(AND(Q$6&gt;='01_가정'!F46,MOD(Q$6-'01_가정'!F46,3)=0),MAX(0,ROUNDUP((SUM('03_월별손익'!Q19:S19)+'01_가정'!$F$100-Q9)/'01_가정'!$F$99,0)*'01_가정'!$F$99),0)</x:f>
        <x:v>0</x:v>
      </x:c>
      <x:c r="R10" s="31" t="n">
        <x:f>IF(AND(R$6&gt;='01_가정'!F46,MOD(R$6-'01_가정'!F46,3)=0),MAX(0,ROUNDUP((SUM('03_월별손익'!R19:T19)+'01_가정'!$F$100-R9)/'01_가정'!$F$99,0)*'01_가정'!$F$99),0)</x:f>
        <x:v>0</x:v>
      </x:c>
      <x:c r="S10" s="31" t="n">
        <x:f>IF(AND(S$6&gt;='01_가정'!F46,MOD(S$6-'01_가정'!F46,3)=0),MAX(0,ROUNDUP((SUM('03_월별손익'!S19:U19)+'01_가정'!$F$100-S9)/'01_가정'!$F$99,0)*'01_가정'!$F$99),0)</x:f>
        <x:v>300</x:v>
      </x:c>
      <x:c r="T10" s="31" t="n">
        <x:f>IF(AND(T$6&gt;='01_가정'!F46,MOD(T$6-'01_가정'!F46,3)=0),MAX(0,ROUNDUP((SUM('03_월별손익'!T19:V19)+'01_가정'!$F$100-T9)/'01_가정'!$F$99,0)*'01_가정'!$F$99),0)</x:f>
        <x:v>0</x:v>
      </x:c>
      <x:c r="U10" s="31" t="n">
        <x:f>IF(AND(U$6&gt;='01_가정'!F46,MOD(U$6-'01_가정'!F46,3)=0),MAX(0,ROUNDUP((SUM('03_월별손익'!U19:W19)+'01_가정'!$F$100-U9)/'01_가정'!$F$99,0)*'01_가정'!$F$99),0)</x:f>
        <x:v>0</x:v>
      </x:c>
      <x:c r="V10" s="31" t="n">
        <x:f>IF(AND(V$6&gt;='01_가정'!F46,MOD(V$6-'01_가정'!F46,3)=0),MAX(0,ROUNDUP((SUM('03_월별손익'!V19:X19)+'01_가정'!$F$100-V9)/'01_가정'!$F$99,0)*'01_가정'!$F$99),0)</x:f>
        <x:v>900</x:v>
      </x:c>
      <x:c r="W10" s="31" t="n">
        <x:f>IF(AND(W$6&gt;='01_가정'!F46,MOD(W$6-'01_가정'!F46,3)=0),MAX(0,ROUNDUP((SUM('03_월별손익'!W19:Y19)+'01_가정'!$F$100-W9)/'01_가정'!$F$99,0)*'01_가정'!$F$99),0)</x:f>
        <x:v>0</x:v>
      </x:c>
      <x:c r="X10" s="31" t="n">
        <x:f>IF(AND(X$6&gt;='01_가정'!F46,MOD(X$6-'01_가정'!F46,3)=0),MAX(0,ROUNDUP((SUM('03_월별손익'!X19:Z19)+'01_가정'!$F$100-X9)/'01_가정'!$F$99,0)*'01_가정'!$F$99),0)</x:f>
        <x:v>0</x:v>
      </x:c>
      <x:c r="Y10" s="31" t="n">
        <x:f>IF(AND(Y$6&gt;='01_가정'!F46,MOD(Y$6-'01_가정'!F46,3)=0),MAX(0,ROUNDUP((SUM('03_월별손익'!Y19:AA19)+'01_가정'!$F$100-Y9)/'01_가정'!$F$99,0)*'01_가정'!$F$99),0)</x:f>
        <x:v>1200</x:v>
      </x:c>
      <x:c r="Z10" s="31" t="n">
        <x:f>IF(AND(Z$6&gt;='01_가정'!F46,MOD(Z$6-'01_가정'!F46,3)=0),MAX(0,ROUNDUP((SUM('03_월별손익'!Z19:AB19)+'01_가정'!$F$100-Z9)/'01_가정'!$F$99,0)*'01_가정'!$F$99),0)</x:f>
        <x:v>0</x:v>
      </x:c>
      <x:c r="AA10" s="31" t="n">
        <x:f>IF(AND(AA$6&gt;='01_가정'!F46,MOD(AA$6-'01_가정'!F46,3)=0),MAX(0,ROUNDUP((SUM('03_월별손익'!AA19:AC19)+'01_가정'!$F$100-AA9)/'01_가정'!$F$99,0)*'01_가정'!$F$99),0)</x:f>
        <x:v>0</x:v>
      </x:c>
      <x:c r="AB10" s="31" t="n">
        <x:f>IF(AND(AB$6&gt;='01_가정'!F46,MOD(AB$6-'01_가정'!F46,3)=0),MAX(0,ROUNDUP((SUM('03_월별손익'!AB19:AD19)+'01_가정'!$F$100-AB9)/'01_가정'!$F$99,0)*'01_가정'!$F$99),0)</x:f>
        <x:v>900</x:v>
      </x:c>
      <x:c r="AC10" s="31" t="n">
        <x:f>IF(AND(AC$6&gt;='01_가정'!F46,MOD(AC$6-'01_가정'!F46,3)=0),MAX(0,ROUNDUP((SUM('03_월별손익'!AC19:AE19)+'01_가정'!$F$100-AC9)/'01_가정'!$F$99,0)*'01_가정'!$F$99),0)</x:f>
        <x:v>0</x:v>
      </x:c>
      <x:c r="AD10" s="31" t="n">
        <x:f>IF(AND(AD$6&gt;='01_가정'!F46,MOD(AD$6-'01_가정'!F46,3)=0),MAX(0,ROUNDUP((SUM('03_월별손익'!AD19:AF19)+'01_가정'!$F$100-AD9)/'01_가정'!$F$99,0)*'01_가정'!$F$99),0)</x:f>
        <x:v>0</x:v>
      </x:c>
      <x:c r="AE10" s="31" t="n">
        <x:f>IF(AND(AE$6&gt;='01_가정'!F46,MOD(AE$6-'01_가정'!F46,3)=0),MAX(0,ROUNDUP((SUM('03_월별손익'!AE19:AG19)+'01_가정'!$F$100-AE9)/'01_가정'!$F$99,0)*'01_가정'!$F$99),0)</x:f>
        <x:v>900</x:v>
      </x:c>
      <x:c r="AF10" s="31" t="n">
        <x:f>IF(AND(AF$6&gt;='01_가정'!F46,MOD(AF$6-'01_가정'!F46,3)=0),MAX(0,ROUNDUP((SUM('03_월별손익'!AF19:AH19)+'01_가정'!$F$100-AF9)/'01_가정'!$F$99,0)*'01_가정'!$F$99),0)</x:f>
        <x:v>0</x:v>
      </x:c>
      <x:c r="AG10" s="31" t="n">
        <x:f>IF(AND(AG$6&gt;='01_가정'!F46,MOD(AG$6-'01_가정'!F46,3)=0),MAX(0,ROUNDUP((SUM('03_월별손익'!AG19:AI19)+'01_가정'!$F$100-AG9)/'01_가정'!$F$99,0)*'01_가정'!$F$99),0)</x:f>
        <x:v>0</x:v>
      </x:c>
      <x:c r="AH10" s="31" t="n">
        <x:f>IF(AND(AH$6&gt;='01_가정'!F46,MOD(AH$6-'01_가정'!F46,3)=0),MAX(0,ROUNDUP((SUM('03_월별손익'!AH19:AJ19)+'01_가정'!$F$100-AH9)/'01_가정'!$F$99,0)*'01_가정'!$F$99),0)</x:f>
        <x:v>2100</x:v>
      </x:c>
      <x:c r="AI10" s="31" t="n">
        <x:f>IF(AND(AI$6&gt;='01_가정'!F46,MOD(AI$6-'01_가정'!F46,3)=0),MAX(0,ROUNDUP((SUM('03_월별손익'!AI19:AK19)+'01_가정'!$F$100-AI9)/'01_가정'!$F$99,0)*'01_가정'!$F$99),0)</x:f>
        <x:v>0</x:v>
      </x:c>
      <x:c r="AJ10" s="31" t="n">
        <x:f>IF(AND(AJ$6&gt;='01_가정'!F46,MOD(AJ$6-'01_가정'!F46,3)=0),MAX(0,ROUNDUP((SUM('03_월별손익'!AJ19:AL19)+'01_가정'!$F$100-AJ9)/'01_가정'!$F$99,0)*'01_가정'!$F$99),0)</x:f>
        <x:v>0</x:v>
      </x:c>
      <x:c r="AK10" s="31" t="n">
        <x:f>IF(AND(AK$6&gt;='01_가정'!F46,MOD(AK$6-'01_가정'!F46,3)=0),MAX(0,ROUNDUP((SUM('03_월별손익'!AK19:AM19)+'01_가정'!$F$100-AK9)/'01_가정'!$F$99,0)*'01_가정'!$F$99),0)</x:f>
        <x:v>2400</x:v>
      </x:c>
      <x:c r="AL10" s="31" t="n">
        <x:f>IF(AND(AL$6&gt;='01_가정'!F46,MOD(AL$6-'01_가정'!F46,3)=0),MAX(0,ROUNDUP((SUM('03_월별손익'!AL19:AN19)+'01_가정'!$F$100-AL9)/'01_가정'!$F$99,0)*'01_가정'!$F$99),0)</x:f>
        <x:v>0</x:v>
      </x:c>
      <x:c r="AM10" s="31" t="n">
        <x:f>IF(AND(AM$6&gt;='01_가정'!F46,MOD(AM$6-'01_가정'!F46,3)=0),MAX(0,ROUNDUP((SUM('03_월별손익'!AM19:AO19)+'01_가정'!$F$100-AM9)/'01_가정'!$F$99,0)*'01_가정'!$F$99),0)</x:f>
        <x:v>0</x:v>
      </x:c>
      <x:c r="AN10" s="31" t="n">
        <x:f>IF(AND(AN$6&gt;='01_가정'!F46,MOD(AN$6-'01_가정'!F46,3)=0),MAX(0,ROUNDUP((SUM('03_월별손익'!AN19:AP19)+'01_가정'!$F$100-AN9)/'01_가정'!$F$99,0)*'01_가정'!$F$99),0)</x:f>
        <x:v>2100</x:v>
      </x:c>
      <x:c r="AO10" s="31" t="n">
        <x:f>IF(AND(AO$6&gt;='01_가정'!F46,MOD(AO$6-'01_가정'!F46,3)=0),MAX(0,ROUNDUP((SUM('03_월별손익'!AO19:AQ19)+'01_가정'!$F$100-AO9)/'01_가정'!$F$99,0)*'01_가정'!$F$99),0)</x:f>
        <x:v>0</x:v>
      </x:c>
      <x:c r="AP10" s="31" t="n">
        <x:f>IF(AND(AP$6&gt;='01_가정'!F46,MOD(AP$6-'01_가정'!F46,3)=0),MAX(0,ROUNDUP((SUM('03_월별손익'!AP19:AR19)+'01_가정'!$F$100-AP9)/'01_가정'!$F$99,0)*'01_가정'!$F$99),0)</x:f>
        <x:v>0</x:v>
      </x:c>
      <x:c r="AQ10" s="31" t="n">
        <x:f>IF(AND(AQ$6&gt;='01_가정'!F46,MOD(AQ$6-'01_가정'!F46,3)=0),MAX(0,ROUNDUP((SUM('03_월별손익'!AQ19:AS19)+'01_가정'!$F$100-AQ9)/'01_가정'!$F$99,0)*'01_가정'!$F$99),0)</x:f>
        <x:v>2100</x:v>
      </x:c>
      <x:c r="AR10" s="31" t="n">
        <x:f>IF(AND(AR$6&gt;='01_가정'!F46,MOD(AR$6-'01_가정'!F46,3)=0),MAX(0,ROUNDUP((SUM('03_월별손익'!AR19:AS19)+'01_가정'!$F$100-AR9)/'01_가정'!$F$99,0)*'01_가정'!$F$99),0)</x:f>
        <x:v>0</x:v>
      </x:c>
      <x:c r="AS10" s="31" t="n">
        <x:f>IF(AND(AS$6&gt;='01_가정'!F46,MOD(AS$6-'01_가정'!F46,3)=0),MAX(0,ROUNDUP((SUM('03_월별손익'!AS19:AS19)+'01_가정'!$F$100-AS9)/'01_가정'!$F$99,0)*'01_가정'!$F$99),0)</x:f>
        <x:v>0</x:v>
      </x:c>
    </x:row>
    <x:row r="11" ht="23" customHeight="1">
      <x:c r="A11" s="2"/>
      <x:c r="B11" s="2"/>
      <x:c r="C11" s="19" t="str">
        <x:v>기말 재고 수량</x:v>
      </x:c>
      <x:c r="D11" s="19" t="str">
        <x:v>개</x:v>
      </x:c>
      <x:c r="E11" s="19"/>
      <x:c r="F11" s="21" t="n">
        <x:f>U11</x:f>
        <x:v>182</x:v>
      </x:c>
      <x:c r="G11" s="21" t="n">
        <x:f>AG11</x:f>
        <x:v>302</x:v>
      </x:c>
      <x:c r="H11" s="21" t="n">
        <x:f>AS11</x:f>
        <x:v>182</x:v>
      </x:c>
      <x:c r="I11" s="19"/>
      <x:c r="J11" s="21" t="n">
        <x:f>J9+J10-J8</x:f>
        <x:v>0</x:v>
      </x:c>
      <x:c r="K11" s="21" t="n">
        <x:f>K9+K10-K8</x:f>
        <x:v>0</x:v>
      </x:c>
      <x:c r="L11" s="21" t="n">
        <x:f>L9+L10-L8</x:f>
        <x:v>0</x:v>
      </x:c>
      <x:c r="M11" s="21" t="n">
        <x:f>M9+M10-M8</x:f>
        <x:v>0</x:v>
      </x:c>
      <x:c r="N11" s="21" t="n">
        <x:f>N9+N10-N8</x:f>
        <x:v>0</x:v>
      </x:c>
      <x:c r="O11" s="21" t="n">
        <x:f>O9+O10-O8</x:f>
        <x:v>0</x:v>
      </x:c>
      <x:c r="P11" s="21" t="n">
        <x:f>P9+P10-P8</x:f>
        <x:v>261</x:v>
      </x:c>
      <x:c r="Q11" s="21" t="n">
        <x:f>Q9+Q10-Q8</x:f>
        <x:v>202</x:v>
      </x:c>
      <x:c r="R11" s="21" t="n">
        <x:f>R9+R10-R8</x:f>
        <x:v>122</x:v>
      </x:c>
      <x:c r="S11" s="21" t="n">
        <x:f>S9+S10-S8</x:f>
        <x:v>342</x:v>
      </x:c>
      <x:c r="T11" s="21" t="n">
        <x:f>T9+T10-T8</x:f>
        <x:v>262</x:v>
      </x:c>
      <x:c r="U11" s="21" t="n">
        <x:f>U9+U10-U8</x:f>
        <x:v>182</x:v>
      </x:c>
      <x:c r="V11" s="21" t="n">
        <x:f>V9+V10-V8</x:f>
        <x:v>767</x:v>
      </x:c>
      <x:c r="W11" s="21" t="n">
        <x:f>W9+W10-W8</x:f>
        <x:v>452</x:v>
      </x:c>
      <x:c r="X11" s="21" t="n">
        <x:f>X9+X10-X8</x:f>
        <x:v>137</x:v>
      </x:c>
      <x:c r="Y11" s="21" t="n">
        <x:f>Y9+Y10-Y8</x:f>
        <x:v>1022</x:v>
      </x:c>
      <x:c r="Z11" s="21" t="n">
        <x:f>Z9+Z10-Z8</x:f>
        <x:v>707</x:v>
      </x:c>
      <x:c r="AA11" s="21" t="n">
        <x:f>AA9+AA10-AA8</x:f>
        <x:v>392</x:v>
      </x:c>
      <x:c r="AB11" s="21" t="n">
        <x:f>AB9+AB10-AB8</x:f>
        <x:v>977</x:v>
      </x:c>
      <x:c r="AC11" s="21" t="n">
        <x:f>AC9+AC10-AC8</x:f>
        <x:v>662</x:v>
      </x:c>
      <x:c r="AD11" s="21" t="n">
        <x:f>AD9+AD10-AD8</x:f>
        <x:v>347</x:v>
      </x:c>
      <x:c r="AE11" s="21" t="n">
        <x:f>AE9+AE10-AE8</x:f>
        <x:v>932</x:v>
      </x:c>
      <x:c r="AF11" s="21" t="n">
        <x:f>AF9+AF10-AF8</x:f>
        <x:v>617</x:v>
      </x:c>
      <x:c r="AG11" s="21" t="n">
        <x:f>AG9+AG10-AG8</x:f>
        <x:v>302</x:v>
      </x:c>
      <x:c r="AH11" s="21" t="n">
        <x:f>AH9+AH10-AH8</x:f>
        <x:v>1667</x:v>
      </x:c>
      <x:c r="AI11" s="21" t="n">
        <x:f>AI9+AI10-AI8</x:f>
        <x:v>932</x:v>
      </x:c>
      <x:c r="AJ11" s="21" t="n">
        <x:f>AJ9+AJ10-AJ8</x:f>
        <x:v>197</x:v>
      </x:c>
      <x:c r="AK11" s="21" t="n">
        <x:f>AK9+AK10-AK8</x:f>
        <x:v>1862</x:v>
      </x:c>
      <x:c r="AL11" s="21" t="n">
        <x:f>AL9+AL10-AL8</x:f>
        <x:v>1127</x:v>
      </x:c>
      <x:c r="AM11" s="21" t="n">
        <x:f>AM9+AM10-AM8</x:f>
        <x:v>392</x:v>
      </x:c>
      <x:c r="AN11" s="21" t="n">
        <x:f>AN9+AN10-AN8</x:f>
        <x:v>1757</x:v>
      </x:c>
      <x:c r="AO11" s="21" t="n">
        <x:f>AO9+AO10-AO8</x:f>
        <x:v>1022</x:v>
      </x:c>
      <x:c r="AP11" s="21" t="n">
        <x:f>AP9+AP10-AP8</x:f>
        <x:v>287</x:v>
      </x:c>
      <x:c r="AQ11" s="21" t="n">
        <x:f>AQ9+AQ10-AQ8</x:f>
        <x:v>1652</x:v>
      </x:c>
      <x:c r="AR11" s="21" t="n">
        <x:f>AR9+AR10-AR8</x:f>
        <x:v>917</x:v>
      </x:c>
      <x:c r="AS11" s="21" t="n">
        <x:f>AS9+AS10-AS8</x:f>
        <x:v>182</x:v>
      </x:c>
    </x:row>
    <x:row r="12" ht="23" customHeight="1">
      <x:c r="A12" s="2"/>
      <x:c r="B12" s="2"/>
      <x:c r="C12" s="2" t="str">
        <x:v>입고월 적용 제조단가</x:v>
      </x:c>
      <x:c r="D12" s="2" t="str">
        <x:v>원</x:v>
      </x:c>
      <x:c r="E12" s="2"/>
      <x:c r="F12" s="2"/>
      <x:c r="G12" s="2"/>
      <x:c r="H12" s="2"/>
      <x:c r="I12" s="2"/>
      <x:c r="J12" s="31" t="n">
        <x:f>'01_가정'!F14</x:f>
        <x:v>55000</x:v>
      </x:c>
      <x:c r="K12" s="31" t="n">
        <x:f>'01_가정'!F14</x:f>
        <x:v>55000</x:v>
      </x:c>
      <x:c r="L12" s="31" t="n">
        <x:f>'01_가정'!F14</x:f>
        <x:v>55000</x:v>
      </x:c>
      <x:c r="M12" s="31" t="n">
        <x:f>'01_가정'!F14</x:f>
        <x:v>55000</x:v>
      </x:c>
      <x:c r="N12" s="31" t="n">
        <x:f>'01_가정'!F14</x:f>
        <x:v>55000</x:v>
      </x:c>
      <x:c r="O12" s="31" t="n">
        <x:f>'01_가정'!F14</x:f>
        <x:v>55000</x:v>
      </x:c>
      <x:c r="P12" s="31" t="n">
        <x:f>'01_가정'!F14</x:f>
        <x:v>55000</x:v>
      </x:c>
      <x:c r="Q12" s="31" t="n">
        <x:f>'01_가정'!F14</x:f>
        <x:v>55000</x:v>
      </x:c>
      <x:c r="R12" s="31" t="n">
        <x:f>'01_가정'!F14</x:f>
        <x:v>55000</x:v>
      </x:c>
      <x:c r="S12" s="31" t="n">
        <x:f>'01_가정'!F14</x:f>
        <x:v>55000</x:v>
      </x:c>
      <x:c r="T12" s="31" t="n">
        <x:f>'01_가정'!F14</x:f>
        <x:v>55000</x:v>
      </x:c>
      <x:c r="U12" s="31" t="n">
        <x:f>'01_가정'!F14</x:f>
        <x:v>55000</x:v>
      </x:c>
      <x:c r="V12" s="31" t="n">
        <x:f>'01_가정'!G14</x:f>
        <x:v>50000</x:v>
      </x:c>
      <x:c r="W12" s="31" t="n">
        <x:f>'01_가정'!G14</x:f>
        <x:v>50000</x:v>
      </x:c>
      <x:c r="X12" s="31" t="n">
        <x:f>'01_가정'!G14</x:f>
        <x:v>50000</x:v>
      </x:c>
      <x:c r="Y12" s="31" t="n">
        <x:f>'01_가정'!G14</x:f>
        <x:v>50000</x:v>
      </x:c>
      <x:c r="Z12" s="31" t="n">
        <x:f>'01_가정'!G14</x:f>
        <x:v>50000</x:v>
      </x:c>
      <x:c r="AA12" s="31" t="n">
        <x:f>'01_가정'!G14</x:f>
        <x:v>50000</x:v>
      </x:c>
      <x:c r="AB12" s="31" t="n">
        <x:f>'01_가정'!G14</x:f>
        <x:v>50000</x:v>
      </x:c>
      <x:c r="AC12" s="31" t="n">
        <x:f>'01_가정'!G14</x:f>
        <x:v>50000</x:v>
      </x:c>
      <x:c r="AD12" s="31" t="n">
        <x:f>'01_가정'!G14</x:f>
        <x:v>50000</x:v>
      </x:c>
      <x:c r="AE12" s="31" t="n">
        <x:f>'01_가정'!G14</x:f>
        <x:v>50000</x:v>
      </x:c>
      <x:c r="AF12" s="31" t="n">
        <x:f>'01_가정'!G14</x:f>
        <x:v>50000</x:v>
      </x:c>
      <x:c r="AG12" s="31" t="n">
        <x:f>'01_가정'!G14</x:f>
        <x:v>50000</x:v>
      </x:c>
      <x:c r="AH12" s="31" t="n">
        <x:f>'01_가정'!H14</x:f>
        <x:v>46000</x:v>
      </x:c>
      <x:c r="AI12" s="31" t="n">
        <x:f>'01_가정'!H14</x:f>
        <x:v>46000</x:v>
      </x:c>
      <x:c r="AJ12" s="31" t="n">
        <x:f>'01_가정'!H14</x:f>
        <x:v>46000</x:v>
      </x:c>
      <x:c r="AK12" s="31" t="n">
        <x:f>'01_가정'!H14</x:f>
        <x:v>46000</x:v>
      </x:c>
      <x:c r="AL12" s="31" t="n">
        <x:f>'01_가정'!H14</x:f>
        <x:v>46000</x:v>
      </x:c>
      <x:c r="AM12" s="31" t="n">
        <x:f>'01_가정'!H14</x:f>
        <x:v>46000</x:v>
      </x:c>
      <x:c r="AN12" s="31" t="n">
        <x:f>'01_가정'!H14</x:f>
        <x:v>46000</x:v>
      </x:c>
      <x:c r="AO12" s="31" t="n">
        <x:f>'01_가정'!H14</x:f>
        <x:v>46000</x:v>
      </x:c>
      <x:c r="AP12" s="31" t="n">
        <x:f>'01_가정'!H14</x:f>
        <x:v>46000</x:v>
      </x:c>
      <x:c r="AQ12" s="31" t="n">
        <x:f>'01_가정'!H14</x:f>
        <x:v>46000</x:v>
      </x:c>
      <x:c r="AR12" s="31" t="n">
        <x:f>'01_가정'!H14</x:f>
        <x:v>46000</x:v>
      </x:c>
      <x:c r="AS12" s="31" t="n">
        <x:f>'01_가정'!H14</x:f>
        <x:v>46000</x:v>
      </x:c>
    </x:row>
    <x:row r="13" ht="23" customHeight="1">
      <x:c r="A13" s="2"/>
      <x:c r="B13" s="2"/>
      <x:c r="C13" s="2" t="str">
        <x:v>입고 제품 공급가 합계</x:v>
      </x:c>
      <x:c r="D13" s="2" t="str">
        <x:v>원</x:v>
      </x:c>
      <x:c r="E13" s="2"/>
      <x:c r="F13" s="33" t="n">
        <x:f>SUM(J13:U13)</x:f>
        <x:v>33000000</x:v>
      </x:c>
      <x:c r="G13" s="33" t="n">
        <x:f>SUM(V13:AG13)</x:f>
        <x:v>195000000</x:v>
      </x:c>
      <x:c r="H13" s="33" t="n">
        <x:f>SUM(AH13:AS13)</x:f>
        <x:v>400200000</x:v>
      </x:c>
      <x:c r="I13" s="2"/>
      <x:c r="J13" s="33" t="n">
        <x:f>J10*J12</x:f>
        <x:v>0</x:v>
      </x:c>
      <x:c r="K13" s="33" t="n">
        <x:f>K10*K12</x:f>
        <x:v>0</x:v>
      </x:c>
      <x:c r="L13" s="33" t="n">
        <x:f>L10*L12</x:f>
        <x:v>0</x:v>
      </x:c>
      <x:c r="M13" s="33" t="n">
        <x:f>M10*M12</x:f>
        <x:v>0</x:v>
      </x:c>
      <x:c r="N13" s="33" t="n">
        <x:f>N10*N12</x:f>
        <x:v>0</x:v>
      </x:c>
      <x:c r="O13" s="33" t="n">
        <x:f>O10*O12</x:f>
        <x:v>0</x:v>
      </x:c>
      <x:c r="P13" s="33" t="n">
        <x:f>P10*P12</x:f>
        <x:v>16500000</x:v>
      </x:c>
      <x:c r="Q13" s="33" t="n">
        <x:f>Q10*Q12</x:f>
        <x:v>0</x:v>
      </x:c>
      <x:c r="R13" s="33" t="n">
        <x:f>R10*R12</x:f>
        <x:v>0</x:v>
      </x:c>
      <x:c r="S13" s="33" t="n">
        <x:f>S10*S12</x:f>
        <x:v>16500000</x:v>
      </x:c>
      <x:c r="T13" s="33" t="n">
        <x:f>T10*T12</x:f>
        <x:v>0</x:v>
      </x:c>
      <x:c r="U13" s="33" t="n">
        <x:f>U10*U12</x:f>
        <x:v>0</x:v>
      </x:c>
      <x:c r="V13" s="33" t="n">
        <x:f>V10*V12</x:f>
        <x:v>45000000</x:v>
      </x:c>
      <x:c r="W13" s="33" t="n">
        <x:f>W10*W12</x:f>
        <x:v>0</x:v>
      </x:c>
      <x:c r="X13" s="33" t="n">
        <x:f>X10*X12</x:f>
        <x:v>0</x:v>
      </x:c>
      <x:c r="Y13" s="33" t="n">
        <x:f>Y10*Y12</x:f>
        <x:v>60000000</x:v>
      </x:c>
      <x:c r="Z13" s="33" t="n">
        <x:f>Z10*Z12</x:f>
        <x:v>0</x:v>
      </x:c>
      <x:c r="AA13" s="33" t="n">
        <x:f>AA10*AA12</x:f>
        <x:v>0</x:v>
      </x:c>
      <x:c r="AB13" s="33" t="n">
        <x:f>AB10*AB12</x:f>
        <x:v>45000000</x:v>
      </x:c>
      <x:c r="AC13" s="33" t="n">
        <x:f>AC10*AC12</x:f>
        <x:v>0</x:v>
      </x:c>
      <x:c r="AD13" s="33" t="n">
        <x:f>AD10*AD12</x:f>
        <x:v>0</x:v>
      </x:c>
      <x:c r="AE13" s="33" t="n">
        <x:f>AE10*AE12</x:f>
        <x:v>45000000</x:v>
      </x:c>
      <x:c r="AF13" s="33" t="n">
        <x:f>AF10*AF12</x:f>
        <x:v>0</x:v>
      </x:c>
      <x:c r="AG13" s="33" t="n">
        <x:f>AG10*AG12</x:f>
        <x:v>0</x:v>
      </x:c>
      <x:c r="AH13" s="33" t="n">
        <x:f>AH10*AH12</x:f>
        <x:v>96600000</x:v>
      </x:c>
      <x:c r="AI13" s="33" t="n">
        <x:f>AI10*AI12</x:f>
        <x:v>0</x:v>
      </x:c>
      <x:c r="AJ13" s="33" t="n">
        <x:f>AJ10*AJ12</x:f>
        <x:v>0</x:v>
      </x:c>
      <x:c r="AK13" s="33" t="n">
        <x:f>AK10*AK12</x:f>
        <x:v>110400000</x:v>
      </x:c>
      <x:c r="AL13" s="33" t="n">
        <x:f>AL10*AL12</x:f>
        <x:v>0</x:v>
      </x:c>
      <x:c r="AM13" s="33" t="n">
        <x:f>AM10*AM12</x:f>
        <x:v>0</x:v>
      </x:c>
      <x:c r="AN13" s="33" t="n">
        <x:f>AN10*AN12</x:f>
        <x:v>96600000</x:v>
      </x:c>
      <x:c r="AO13" s="33" t="n">
        <x:f>AO10*AO12</x:f>
        <x:v>0</x:v>
      </x:c>
      <x:c r="AP13" s="33" t="n">
        <x:f>AP10*AP12</x:f>
        <x:v>0</x:v>
      </x:c>
      <x:c r="AQ13" s="33" t="n">
        <x:f>AQ10*AQ12</x:f>
        <x:v>96600000</x:v>
      </x:c>
      <x:c r="AR13" s="33" t="n">
        <x:f>AR10*AR12</x:f>
        <x:v>0</x:v>
      </x:c>
      <x:c r="AS13" s="33" t="n">
        <x:f>AS10*AS12</x:f>
        <x:v>0</x:v>
      </x:c>
    </x:row>
    <x:row r="14" ht="23" customHeight="1">
      <x:c r="A14" s="2"/>
      <x:c r="B14" s="2"/>
      <x:c r="C14" s="2" t="str">
        <x:v>기초 재고 금액</x:v>
      </x:c>
      <x:c r="D14" s="2" t="str">
        <x:v>원</x:v>
      </x:c>
      <x:c r="E14" s="2"/>
      <x:c r="F14" s="33" t="n">
        <x:f>J14</x:f>
        <x:v>0</x:v>
      </x:c>
      <x:c r="G14" s="33" t="n">
        <x:f>V14</x:f>
        <x:v>10010000</x:v>
      </x:c>
      <x:c r="H14" s="33" t="n">
        <x:f>AH14</x:f>
        <x:v>15102197.337710386</x:v>
      </x:c>
      <x:c r="I14" s="2"/>
      <x:c r="J14" s="33" t="n">
        <x:f>0</x:f>
        <x:v>0</x:v>
      </x:c>
      <x:c r="K14" s="33" t="n">
        <x:f>J17</x:f>
        <x:v>0</x:v>
      </x:c>
      <x:c r="L14" s="33" t="n">
        <x:f>K17</x:f>
        <x:v>0</x:v>
      </x:c>
      <x:c r="M14" s="33" t="n">
        <x:f>L17</x:f>
        <x:v>0</x:v>
      </x:c>
      <x:c r="N14" s="33" t="n">
        <x:f>M17</x:f>
        <x:v>0</x:v>
      </x:c>
      <x:c r="O14" s="33" t="n">
        <x:f>N17</x:f>
        <x:v>0</x:v>
      </x:c>
      <x:c r="P14" s="33" t="n">
        <x:f>O17</x:f>
        <x:v>0</x:v>
      </x:c>
      <x:c r="Q14" s="33" t="n">
        <x:f>P17</x:f>
        <x:v>14355000</x:v>
      </x:c>
      <x:c r="R14" s="33" t="n">
        <x:f>Q17</x:f>
        <x:v>11110000</x:v>
      </x:c>
      <x:c r="S14" s="33" t="n">
        <x:f>R17</x:f>
        <x:v>6710000</x:v>
      </x:c>
      <x:c r="T14" s="33" t="n">
        <x:f>S17</x:f>
        <x:v>18810000</x:v>
      </x:c>
      <x:c r="U14" s="33" t="n">
        <x:f>T17</x:f>
        <x:v>14410000</x:v>
      </x:c>
      <x:c r="V14" s="33" t="n">
        <x:f>U17</x:f>
        <x:v>10010000</x:v>
      </x:c>
      <x:c r="W14" s="33" t="n">
        <x:f>V17</x:f>
        <x:v>38995073.93715342</x:v>
      </x:c>
      <x:c r="X14" s="33" t="n">
        <x:f>W17</x:f>
        <x:v>22980147.874306843</x:v>
      </x:c>
      <x:c r="Y14" s="33" t="n">
        <x:f>X17</x:f>
        <x:v>6965221.811460258</x:v>
      </x:c>
      <x:c r="Z14" s="33" t="n">
        <x:f>Y17</x:f>
        <x:v>51188075.311378</x:v>
      </x:c>
      <x:c r="AA14" s="33" t="n">
        <x:f>Z17</x:f>
        <x:v>35410928.81129574</x:v>
      </x:c>
      <x:c r="AB14" s="33" t="n">
        <x:f>AA17</x:f>
        <x:v>19633782.31121348</x:v>
      </x:c>
      <x:c r="AC14" s="33" t="n">
        <x:f>AB17</x:f>
        <x:v>48875545.911807716</x:v>
      </x:c>
      <x:c r="AD14" s="33" t="n">
        <x:f>AC17</x:f>
        <x:v>33117309.512401953</x:v>
      </x:c>
      <x:c r="AE14" s="33" t="n">
        <x:f>AD17</x:f>
        <x:v>17359073.11299619</x:v>
      </x:c>
      <x:c r="AF14" s="33" t="n">
        <x:f>AE17</x:f>
        <x:v>46606781.18790092</x:v>
      </x:c>
      <x:c r="AG14" s="33" t="n">
        <x:f>AF17</x:f>
        <x:v>30854489.262805656</x:v>
      </x:c>
      <x:c r="AH14" s="33" t="n">
        <x:f>AG17</x:f>
        <x:v>15102197.337710386</x:v>
      </x:c>
      <x:c r="AI14" s="33" t="n">
        <x:f>AH17</x:f>
        <x:v>77521882.9983194</x:v>
      </x:c>
      <x:c r="AJ14" s="33" t="n">
        <x:f>AI17</x:f>
        <x:v>43341568.658928424</x:v>
      </x:c>
      <x:c r="AK14" s="33" t="n">
        <x:f>AJ17</x:f>
        <x:v>9161254.319537446</x:v>
      </x:c>
      <x:c r="AL14" s="33" t="n">
        <x:f>AK17</x:f>
        <x:v>85723163.47438535</x:v>
      </x:c>
      <x:c r="AM14" s="33" t="n">
        <x:f>AL17</x:f>
        <x:v>51885072.62923324</x:v>
      </x:c>
      <x:c r="AN14" s="33" t="n">
        <x:f>AM17</x:f>
        <x:v>18046981.784081124</x:v>
      </x:c>
      <x:c r="AO14" s="33" t="n">
        <x:f>AN17</x:f>
        <x:v>80832562.99945046</x:v>
      </x:c>
      <x:c r="AP14" s="33" t="n">
        <x:f>AO17</x:f>
        <x:v>47018144.21481979</x:v>
      </x:c>
      <x:c r="AQ14" s="33" t="n">
        <x:f>AP17</x:f>
        <x:v>13203725.430189118</x:v>
      </x:c>
      <x:c r="AR14" s="33" t="n">
        <x:f>AQ17</x:f>
        <x:v>75993194.13936841</x:v>
      </x:c>
      <x:c r="AS14" s="33" t="n">
        <x:f>AR17</x:f>
        <x:v>42182662.84854772</x:v>
      </x:c>
    </x:row>
    <x:row r="15" ht="23" customHeight="1">
      <x:c r="A15" s="2"/>
      <x:c r="B15" s="2"/>
      <x:c r="C15" s="2" t="str">
        <x:v>이동평균 원가</x:v>
      </x:c>
      <x:c r="D15" s="2" t="str">
        <x:v>원</x:v>
      </x:c>
      <x:c r="E15" s="2"/>
      <x:c r="F15" s="2"/>
      <x:c r="G15" s="2"/>
      <x:c r="H15" s="2"/>
      <x:c r="I15" s="2"/>
      <x:c r="J15" s="33" t="n">
        <x:f>IF(SUM(J9:J10)&gt;0,(J14+J13)/SUM(J9:J10),0)</x:f>
        <x:v>0</x:v>
      </x:c>
      <x:c r="K15" s="33" t="n">
        <x:f>IF(SUM(K9:K10)&gt;0,(K14+K13)/SUM(K9:K10),0)</x:f>
        <x:v>0</x:v>
      </x:c>
      <x:c r="L15" s="33" t="n">
        <x:f>IF(SUM(L9:L10)&gt;0,(L14+L13)/SUM(L9:L10),0)</x:f>
        <x:v>0</x:v>
      </x:c>
      <x:c r="M15" s="33" t="n">
        <x:f>IF(SUM(M9:M10)&gt;0,(M14+M13)/SUM(M9:M10),0)</x:f>
        <x:v>0</x:v>
      </x:c>
      <x:c r="N15" s="33" t="n">
        <x:f>IF(SUM(N9:N10)&gt;0,(N14+N13)/SUM(N9:N10),0)</x:f>
        <x:v>0</x:v>
      </x:c>
      <x:c r="O15" s="33" t="n">
        <x:f>IF(SUM(O9:O10)&gt;0,(O14+O13)/SUM(O9:O10),0)</x:f>
        <x:v>0</x:v>
      </x:c>
      <x:c r="P15" s="33" t="n">
        <x:f>IF(SUM(P9:P10)&gt;0,(P14+P13)/SUM(P9:P10),0)</x:f>
        <x:v>55000</x:v>
      </x:c>
      <x:c r="Q15" s="33" t="n">
        <x:f>IF(SUM(Q9:Q10)&gt;0,(Q14+Q13)/SUM(Q9:Q10),0)</x:f>
        <x:v>55000</x:v>
      </x:c>
      <x:c r="R15" s="33" t="n">
        <x:f>IF(SUM(R9:R10)&gt;0,(R14+R13)/SUM(R9:R10),0)</x:f>
        <x:v>55000</x:v>
      </x:c>
      <x:c r="S15" s="33" t="n">
        <x:f>IF(SUM(S9:S10)&gt;0,(S14+S13)/SUM(S9:S10),0)</x:f>
        <x:v>55000</x:v>
      </x:c>
      <x:c r="T15" s="33" t="n">
        <x:f>IF(SUM(T9:T10)&gt;0,(T14+T13)/SUM(T9:T10),0)</x:f>
        <x:v>55000</x:v>
      </x:c>
      <x:c r="U15" s="33" t="n">
        <x:f>IF(SUM(U9:U10)&gt;0,(U14+U13)/SUM(U9:U10),0)</x:f>
        <x:v>55000</x:v>
      </x:c>
      <x:c r="V15" s="33" t="n">
        <x:f>IF(SUM(V9:V10)&gt;0,(V14+V13)/SUM(V9:V10),0)</x:f>
        <x:v>50841.03512014788</x:v>
      </x:c>
      <x:c r="W15" s="33" t="n">
        <x:f>IF(SUM(W9:W10)&gt;0,(W14+W13)/SUM(W9:W10),0)</x:f>
        <x:v>50841.03512014788</x:v>
      </x:c>
      <x:c r="X15" s="33" t="n">
        <x:f>IF(SUM(X9:X10)&gt;0,(X14+X13)/SUM(X9:X10),0)</x:f>
        <x:v>50841.035120147884</x:v>
      </x:c>
      <x:c r="Y15" s="33" t="n">
        <x:f>IF(SUM(Y9:Y10)&gt;0,(Y14+Y13)/SUM(Y9:Y10),0)</x:f>
        <x:v>50086.179365340504</x:v>
      </x:c>
      <x:c r="Z15" s="33" t="n">
        <x:f>IF(SUM(Z9:Z10)&gt;0,(Z14+Z13)/SUM(Z9:Z10),0)</x:f>
        <x:v>50086.17936534051</x:v>
      </x:c>
      <x:c r="AA15" s="33" t="n">
        <x:f>IF(SUM(AA9:AA10)&gt;0,(AA14+AA13)/SUM(AA9:AA10),0)</x:f>
        <x:v>50086.17936534051</x:v>
      </x:c>
      <x:c r="AB15" s="33" t="n">
        <x:f>IF(SUM(AB9:AB10)&gt;0,(AB14+AB13)/SUM(AB9:AB10),0)</x:f>
        <x:v>50026.14729970083</x:v>
      </x:c>
      <x:c r="AC15" s="33" t="n">
        <x:f>IF(SUM(AC9:AC10)&gt;0,(AC14+AC13)/SUM(AC9:AC10),0)</x:f>
        <x:v>50026.14729970084</x:v>
      </x:c>
      <x:c r="AD15" s="33" t="n">
        <x:f>IF(SUM(AD9:AD10)&gt;0,(AD14+AD13)/SUM(AD9:AD10),0)</x:f>
        <x:v>50026.14729970084</x:v>
      </x:c>
      <x:c r="AE15" s="33" t="n">
        <x:f>IF(SUM(AE9:AE10)&gt;0,(AE14+AE13)/SUM(AE9:AE10),0)</x:f>
        <x:v>50007.27595268339</x:v>
      </x:c>
      <x:c r="AF15" s="33" t="n">
        <x:f>IF(SUM(AF9:AF10)&gt;0,(AF14+AF13)/SUM(AF9:AF10),0)</x:f>
        <x:v>50007.27595268339</x:v>
      </x:c>
      <x:c r="AG15" s="33" t="n">
        <x:f>IF(SUM(AG9:AG10)&gt;0,(AG14+AG13)/SUM(AG9:AG10),0)</x:f>
        <x:v>50007.2759526834</x:v>
      </x:c>
      <x:c r="AH15" s="33" t="n">
        <x:f>IF(SUM(AH9:AH10)&gt;0,(AH14+AH13)/SUM(AH9:AH10),0)</x:f>
        <x:v>46503.82903318501</x:v>
      </x:c>
      <x:c r="AI15" s="33" t="n">
        <x:f>IF(SUM(AI9:AI10)&gt;0,(AI14+AI13)/SUM(AI9:AI10),0)</x:f>
        <x:v>46503.82903318501</x:v>
      </x:c>
      <x:c r="AJ15" s="33" t="n">
        <x:f>IF(SUM(AJ9:AJ10)&gt;0,(AJ14+AJ13)/SUM(AJ9:AJ10),0)</x:f>
        <x:v>46503.82903318501</x:v>
      </x:c>
      <x:c r="AK15" s="33" t="n">
        <x:f>IF(SUM(AK9:AK10)&gt;0,(AK14+AK13)/SUM(AK9:AK10),0)</x:f>
        <x:v>46038.21883694164</x:v>
      </x:c>
      <x:c r="AL15" s="33" t="n">
        <x:f>IF(SUM(AL9:AL10)&gt;0,(AL14+AL13)/SUM(AL9:AL10),0)</x:f>
        <x:v>46038.21883694165</x:v>
      </x:c>
      <x:c r="AM15" s="33" t="n">
        <x:f>IF(SUM(AM9:AM10)&gt;0,(AM14+AM13)/SUM(AM9:AM10),0)</x:f>
        <x:v>46038.218836941654</x:v>
      </x:c>
      <x:c r="AN15" s="33" t="n">
        <x:f>IF(SUM(AN9:AN10)&gt;0,(AN14+AN13)/SUM(AN9:AN10),0)</x:f>
        <x:v>46006.01195187846</x:v>
      </x:c>
      <x:c r="AO15" s="33" t="n">
        <x:f>IF(SUM(AO9:AO10)&gt;0,(AO14+AO13)/SUM(AO9:AO10),0)</x:f>
        <x:v>46006.01195187846</x:v>
      </x:c>
      <x:c r="AP15" s="33" t="n">
        <x:f>IF(SUM(AP9:AP10)&gt;0,(AP14+AP13)/SUM(AP9:AP10),0)</x:f>
        <x:v>46006.01195187846</x:v>
      </x:c>
      <x:c r="AQ15" s="33" t="n">
        <x:f>IF(SUM(AQ9:AQ10)&gt;0,(AQ14+AQ13)/SUM(AQ9:AQ10),0)</x:f>
        <x:v>46000.72284465401</x:v>
      </x:c>
      <x:c r="AR15" s="33" t="n">
        <x:f>IF(SUM(AR9:AR10)&gt;0,(AR14+AR13)/SUM(AR9:AR10),0)</x:f>
        <x:v>46000.722844654</x:v>
      </x:c>
      <x:c r="AS15" s="33" t="n">
        <x:f>IF(SUM(AS9:AS10)&gt;0,(AS14+AS13)/SUM(AS9:AS10),0)</x:f>
        <x:v>46000.722844654</x:v>
      </x:c>
    </x:row>
    <x:row r="16" ht="23" customHeight="1">
      <x:c r="A16" s="2"/>
      <x:c r="B16" s="2"/>
      <x:c r="C16" s="2" t="str">
        <x:v>출고 매출원가</x:v>
      </x:c>
      <x:c r="D16" s="2" t="str">
        <x:v>원</x:v>
      </x:c>
      <x:c r="E16" s="2"/>
      <x:c r="F16" s="33" t="n">
        <x:f>SUM(J16:U16)</x:f>
        <x:v>22990000</x:v>
      </x:c>
      <x:c r="G16" s="33" t="n">
        <x:f>SUM(V16:AG16)</x:f>
        <x:v>189907802.6622896</x:v>
      </x:c>
      <x:c r="H16" s="33" t="n">
        <x:f>SUM(AH16:AS16)</x:f>
        <x:v>406930065.7799834</x:v>
      </x:c>
      <x:c r="I16" s="2"/>
      <x:c r="J16" s="33" t="n">
        <x:f>J8*J15</x:f>
        <x:v>0</x:v>
      </x:c>
      <x:c r="K16" s="33" t="n">
        <x:f>K8*K15</x:f>
        <x:v>0</x:v>
      </x:c>
      <x:c r="L16" s="33" t="n">
        <x:f>L8*L15</x:f>
        <x:v>0</x:v>
      </x:c>
      <x:c r="M16" s="33" t="n">
        <x:f>M8*M15</x:f>
        <x:v>0</x:v>
      </x:c>
      <x:c r="N16" s="33" t="n">
        <x:f>N8*N15</x:f>
        <x:v>0</x:v>
      </x:c>
      <x:c r="O16" s="33" t="n">
        <x:f>O8*O15</x:f>
        <x:v>0</x:v>
      </x:c>
      <x:c r="P16" s="33" t="n">
        <x:f>P8*P15</x:f>
        <x:v>2145000</x:v>
      </x:c>
      <x:c r="Q16" s="33" t="n">
        <x:f>Q8*Q15</x:f>
        <x:v>3245000</x:v>
      </x:c>
      <x:c r="R16" s="33" t="n">
        <x:f>R8*R15</x:f>
        <x:v>4400000</x:v>
      </x:c>
      <x:c r="S16" s="33" t="n">
        <x:f>S8*S15</x:f>
        <x:v>4400000</x:v>
      </x:c>
      <x:c r="T16" s="33" t="n">
        <x:f>T8*T15</x:f>
        <x:v>4400000</x:v>
      </x:c>
      <x:c r="U16" s="33" t="n">
        <x:f>U8*U15</x:f>
        <x:v>4400000</x:v>
      </x:c>
      <x:c r="V16" s="33" t="n">
        <x:f>V8*V15</x:f>
        <x:v>16014926.06284658</x:v>
      </x:c>
      <x:c r="W16" s="33" t="n">
        <x:f>W8*W15</x:f>
        <x:v>16014926.06284658</x:v>
      </x:c>
      <x:c r="X16" s="33" t="n">
        <x:f>X8*X15</x:f>
        <x:v>16014926.062846584</x:v>
      </x:c>
      <x:c r="Y16" s="33" t="n">
        <x:f>Y8*Y15</x:f>
        <x:v>15777146.500082258</x:v>
      </x:c>
      <x:c r="Z16" s="33" t="n">
        <x:f>Z8*Z15</x:f>
        <x:v>15777146.500082262</x:v>
      </x:c>
      <x:c r="AA16" s="33" t="n">
        <x:f>AA8*AA15</x:f>
        <x:v>15777146.500082262</x:v>
      </x:c>
      <x:c r="AB16" s="33" t="n">
        <x:f>AB8*AB15</x:f>
        <x:v>15758236.399405763</x:v>
      </x:c>
      <x:c r="AC16" s="33" t="n">
        <x:f>AC8*AC15</x:f>
        <x:v>15758236.399405764</x:v>
      </x:c>
      <x:c r="AD16" s="33" t="n">
        <x:f>AD8*AD15</x:f>
        <x:v>15758236.399405764</x:v>
      </x:c>
      <x:c r="AE16" s="33" t="n">
        <x:f>AE8*AE15</x:f>
        <x:v>15752291.925095268</x:v>
      </x:c>
      <x:c r="AF16" s="33" t="n">
        <x:f>AF8*AF15</x:f>
        <x:v>15752291.925095268</x:v>
      </x:c>
      <x:c r="AG16" s="33" t="n">
        <x:f>AG8*AG15</x:f>
        <x:v>15752291.92509527</x:v>
      </x:c>
      <x:c r="AH16" s="33" t="n">
        <x:f>AH8*AH15</x:f>
        <x:v>34180314.33939098</x:v>
      </x:c>
      <x:c r="AI16" s="33" t="n">
        <x:f>AI8*AI15</x:f>
        <x:v>34180314.33939098</x:v>
      </x:c>
      <x:c r="AJ16" s="33" t="n">
        <x:f>AJ8*AJ15</x:f>
        <x:v>34180314.33939098</x:v>
      </x:c>
      <x:c r="AK16" s="33" t="n">
        <x:f>AK8*AK15</x:f>
        <x:v>33838090.8451521</x:v>
      </x:c>
      <x:c r="AL16" s="33" t="n">
        <x:f>AL8*AL15</x:f>
        <x:v>33838090.84515211</x:v>
      </x:c>
      <x:c r="AM16" s="33" t="n">
        <x:f>AM8*AM15</x:f>
        <x:v>33838090.84515212</x:v>
      </x:c>
      <x:c r="AN16" s="33" t="n">
        <x:f>AN8*AN15</x:f>
        <x:v>33814418.78463067</x:v>
      </x:c>
      <x:c r="AO16" s="33" t="n">
        <x:f>AO8*AO15</x:f>
        <x:v>33814418.78463067</x:v>
      </x:c>
      <x:c r="AP16" s="33" t="n">
        <x:f>AP8*AP15</x:f>
        <x:v>33814418.78463067</x:v>
      </x:c>
      <x:c r="AQ16" s="33" t="n">
        <x:f>AQ8*AQ15</x:f>
        <x:v>33810531.290820695</x:v>
      </x:c>
      <x:c r="AR16" s="33" t="n">
        <x:f>AR8*AR15</x:f>
        <x:v>33810531.290820695</x:v>
      </x:c>
      <x:c r="AS16" s="33" t="n">
        <x:f>AS8*AS15</x:f>
        <x:v>33810531.290820695</x:v>
      </x:c>
    </x:row>
    <x:row r="17" ht="23" customHeight="1">
      <x:c r="A17" s="2"/>
      <x:c r="B17" s="2"/>
      <x:c r="C17" s="19" t="str">
        <x:v>기말 재고 금액</x:v>
      </x:c>
      <x:c r="D17" s="19" t="str">
        <x:v>원</x:v>
      </x:c>
      <x:c r="E17" s="19"/>
      <x:c r="F17" s="21" t="n">
        <x:f>U17</x:f>
        <x:v>10010000</x:v>
      </x:c>
      <x:c r="G17" s="21" t="n">
        <x:f>AG17</x:f>
        <x:v>15102197.337710386</x:v>
      </x:c>
      <x:c r="H17" s="21" t="n">
        <x:f>AS17</x:f>
        <x:v>8372131.557727024</x:v>
      </x:c>
      <x:c r="I17" s="19"/>
      <x:c r="J17" s="21" t="n">
        <x:f>J14+J13-J16</x:f>
        <x:v>0</x:v>
      </x:c>
      <x:c r="K17" s="21" t="n">
        <x:f>K14+K13-K16</x:f>
        <x:v>0</x:v>
      </x:c>
      <x:c r="L17" s="21" t="n">
        <x:f>L14+L13-L16</x:f>
        <x:v>0</x:v>
      </x:c>
      <x:c r="M17" s="21" t="n">
        <x:f>M14+M13-M16</x:f>
        <x:v>0</x:v>
      </x:c>
      <x:c r="N17" s="21" t="n">
        <x:f>N14+N13-N16</x:f>
        <x:v>0</x:v>
      </x:c>
      <x:c r="O17" s="21" t="n">
        <x:f>O14+O13-O16</x:f>
        <x:v>0</x:v>
      </x:c>
      <x:c r="P17" s="21" t="n">
        <x:f>P14+P13-P16</x:f>
        <x:v>14355000</x:v>
      </x:c>
      <x:c r="Q17" s="21" t="n">
        <x:f>Q14+Q13-Q16</x:f>
        <x:v>11110000</x:v>
      </x:c>
      <x:c r="R17" s="21" t="n">
        <x:f>R14+R13-R16</x:f>
        <x:v>6710000</x:v>
      </x:c>
      <x:c r="S17" s="21" t="n">
        <x:f>S14+S13-S16</x:f>
        <x:v>18810000</x:v>
      </x:c>
      <x:c r="T17" s="21" t="n">
        <x:f>T14+T13-T16</x:f>
        <x:v>14410000</x:v>
      </x:c>
      <x:c r="U17" s="21" t="n">
        <x:f>U14+U13-U16</x:f>
        <x:v>10010000</x:v>
      </x:c>
      <x:c r="V17" s="21" t="n">
        <x:f>V14+V13-V16</x:f>
        <x:v>38995073.93715342</x:v>
      </x:c>
      <x:c r="W17" s="21" t="n">
        <x:f>W14+W13-W16</x:f>
        <x:v>22980147.874306843</x:v>
      </x:c>
      <x:c r="X17" s="21" t="n">
        <x:f>X14+X13-X16</x:f>
        <x:v>6965221.811460258</x:v>
      </x:c>
      <x:c r="Y17" s="21" t="n">
        <x:f>Y14+Y13-Y16</x:f>
        <x:v>51188075.311378</x:v>
      </x:c>
      <x:c r="Z17" s="21" t="n">
        <x:f>Z14+Z13-Z16</x:f>
        <x:v>35410928.81129574</x:v>
      </x:c>
      <x:c r="AA17" s="21" t="n">
        <x:f>AA14+AA13-AA16</x:f>
        <x:v>19633782.31121348</x:v>
      </x:c>
      <x:c r="AB17" s="21" t="n">
        <x:f>AB14+AB13-AB16</x:f>
        <x:v>48875545.911807716</x:v>
      </x:c>
      <x:c r="AC17" s="21" t="n">
        <x:f>AC14+AC13-AC16</x:f>
        <x:v>33117309.512401953</x:v>
      </x:c>
      <x:c r="AD17" s="21" t="n">
        <x:f>AD14+AD13-AD16</x:f>
        <x:v>17359073.11299619</x:v>
      </x:c>
      <x:c r="AE17" s="21" t="n">
        <x:f>AE14+AE13-AE16</x:f>
        <x:v>46606781.18790092</x:v>
      </x:c>
      <x:c r="AF17" s="21" t="n">
        <x:f>AF14+AF13-AF16</x:f>
        <x:v>30854489.262805656</x:v>
      </x:c>
      <x:c r="AG17" s="21" t="n">
        <x:f>AG14+AG13-AG16</x:f>
        <x:v>15102197.337710386</x:v>
      </x:c>
      <x:c r="AH17" s="21" t="n">
        <x:f>AH14+AH13-AH16</x:f>
        <x:v>77521882.9983194</x:v>
      </x:c>
      <x:c r="AI17" s="21" t="n">
        <x:f>AI14+AI13-AI16</x:f>
        <x:v>43341568.658928424</x:v>
      </x:c>
      <x:c r="AJ17" s="21" t="n">
        <x:f>AJ14+AJ13-AJ16</x:f>
        <x:v>9161254.319537446</x:v>
      </x:c>
      <x:c r="AK17" s="21" t="n">
        <x:f>AK14+AK13-AK16</x:f>
        <x:v>85723163.47438535</x:v>
      </x:c>
      <x:c r="AL17" s="21" t="n">
        <x:f>AL14+AL13-AL16</x:f>
        <x:v>51885072.62923324</x:v>
      </x:c>
      <x:c r="AM17" s="21" t="n">
        <x:f>AM14+AM13-AM16</x:f>
        <x:v>18046981.784081124</x:v>
      </x:c>
      <x:c r="AN17" s="21" t="n">
        <x:f>AN14+AN13-AN16</x:f>
        <x:v>80832562.99945046</x:v>
      </x:c>
      <x:c r="AO17" s="21" t="n">
        <x:f>AO14+AO13-AO16</x:f>
        <x:v>47018144.21481979</x:v>
      </x:c>
      <x:c r="AP17" s="21" t="n">
        <x:f>AP14+AP13-AP16</x:f>
        <x:v>13203725.430189118</x:v>
      </x:c>
      <x:c r="AQ17" s="21" t="n">
        <x:f>AQ14+AQ13-AQ16</x:f>
        <x:v>75993194.13936841</x:v>
      </x:c>
      <x:c r="AR17" s="21" t="n">
        <x:f>AR14+AR13-AR16</x:f>
        <x:v>42182662.84854772</x:v>
      </x:c>
      <x:c r="AS17" s="21" t="n">
        <x:f>AS14+AS13-AS16</x:f>
        <x:v>8372131.557727024</x:v>
      </x:c>
    </x:row>
    <x:row r="18" ht="23" customHeight="1">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ht="23" customHeight="1">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ht="23" customHeight="1">
      <x:c r="A20" s="2"/>
      <x:c r="B20" s="2"/>
      <x:c r="C20" s="2" t="str">
        <x:v>당월 신규 발주 공급가</x:v>
      </x:c>
      <x:c r="D20" s="2" t="str">
        <x:v>원</x:v>
      </x:c>
      <x:c r="E20" s="2"/>
      <x:c r="F20" s="33" t="n">
        <x:f>SUM(J20:U20)</x:f>
        <x:v>78000000</x:v>
      </x:c>
      <x:c r="G20" s="33" t="n">
        <x:f>SUM(V20:AG20)</x:f>
        <x:v>246600000</x:v>
      </x:c>
      <x:c r="H20" s="33" t="n">
        <x:f>SUM(AH20:AS20)</x:f>
        <x:v>303600000</x:v>
      </x:c>
      <x:c r="I20" s="2"/>
      <x:c r="J20" s="31" t="n">
        <x:f>IF(J$6+'01_가정'!$F$101&lt;=36,INDEX($J$13:$AS$13,1,MIN(36,J$6+'01_가정'!$F$101)),0)+IF('01_가정'!$F$101&gt;0,SUM($J$13:INDEX($J$13:$AS$13,1,MAX(1,MIN(36,'01_가정'!$F$101)))),0)</x:f>
        <x:v>0</x:v>
      </x:c>
      <x:c r="K20" s="31" t="n">
        <x:f>IF(K$6+'01_가정'!$F$101&lt;=36,INDEX($J$13:$AS$13,1,MIN(36,K$6+'01_가정'!$F$101)),0)</x:f>
        <x:v>0</x:v>
      </x:c>
      <x:c r="L20" s="31" t="n">
        <x:f>IF(L$6+'01_가정'!$F$101&lt;=36,INDEX($J$13:$AS$13,1,MIN(36,L$6+'01_가정'!$F$101)),0)</x:f>
        <x:v>0</x:v>
      </x:c>
      <x:c r="M20" s="31" t="n">
        <x:f>IF(M$6+'01_가정'!$F$101&lt;=36,INDEX($J$13:$AS$13,1,MIN(36,M$6+'01_가정'!$F$101)),0)</x:f>
        <x:v>0</x:v>
      </x:c>
      <x:c r="N20" s="31" t="n">
        <x:f>IF(N$6+'01_가정'!$F$101&lt;=36,INDEX($J$13:$AS$13,1,MIN(36,N$6+'01_가정'!$F$101)),0)</x:f>
        <x:v>16500000</x:v>
      </x:c>
      <x:c r="O20" s="31" t="n">
        <x:f>IF(O$6+'01_가정'!$F$101&lt;=36,INDEX($J$13:$AS$13,1,MIN(36,O$6+'01_가정'!$F$101)),0)</x:f>
        <x:v>0</x:v>
      </x:c>
      <x:c r="P20" s="31" t="n">
        <x:f>IF(P$6+'01_가정'!$F$101&lt;=36,INDEX($J$13:$AS$13,1,MIN(36,P$6+'01_가정'!$F$101)),0)</x:f>
        <x:v>0</x:v>
      </x:c>
      <x:c r="Q20" s="31" t="n">
        <x:f>IF(Q$6+'01_가정'!$F$101&lt;=36,INDEX($J$13:$AS$13,1,MIN(36,Q$6+'01_가정'!$F$101)),0)</x:f>
        <x:v>16500000</x:v>
      </x:c>
      <x:c r="R20" s="31" t="n">
        <x:f>IF(R$6+'01_가정'!$F$101&lt;=36,INDEX($J$13:$AS$13,1,MIN(36,R$6+'01_가정'!$F$101)),0)</x:f>
        <x:v>0</x:v>
      </x:c>
      <x:c r="S20" s="31" t="n">
        <x:f>IF(S$6+'01_가정'!$F$101&lt;=36,INDEX($J$13:$AS$13,1,MIN(36,S$6+'01_가정'!$F$101)),0)</x:f>
        <x:v>0</x:v>
      </x:c>
      <x:c r="T20" s="31" t="n">
        <x:f>IF(T$6+'01_가정'!$F$101&lt;=36,INDEX($J$13:$AS$13,1,MIN(36,T$6+'01_가정'!$F$101)),0)</x:f>
        <x:v>45000000</x:v>
      </x:c>
      <x:c r="U20" s="31" t="n">
        <x:f>IF(U$6+'01_가정'!$F$101&lt;=36,INDEX($J$13:$AS$13,1,MIN(36,U$6+'01_가정'!$F$101)),0)</x:f>
        <x:v>0</x:v>
      </x:c>
      <x:c r="V20" s="31" t="n">
        <x:f>IF(V$6+'01_가정'!$F$101&lt;=36,INDEX($J$13:$AS$13,1,MIN(36,V$6+'01_가정'!$F$101)),0)</x:f>
        <x:v>0</x:v>
      </x:c>
      <x:c r="W20" s="31" t="n">
        <x:f>IF(W$6+'01_가정'!$F$101&lt;=36,INDEX($J$13:$AS$13,1,MIN(36,W$6+'01_가정'!$F$101)),0)</x:f>
        <x:v>60000000</x:v>
      </x:c>
      <x:c r="X20" s="31" t="n">
        <x:f>IF(X$6+'01_가정'!$F$101&lt;=36,INDEX($J$13:$AS$13,1,MIN(36,X$6+'01_가정'!$F$101)),0)</x:f>
        <x:v>0</x:v>
      </x:c>
      <x:c r="Y20" s="31" t="n">
        <x:f>IF(Y$6+'01_가정'!$F$101&lt;=36,INDEX($J$13:$AS$13,1,MIN(36,Y$6+'01_가정'!$F$101)),0)</x:f>
        <x:v>0</x:v>
      </x:c>
      <x:c r="Z20" s="31" t="n">
        <x:f>IF(Z$6+'01_가정'!$F$101&lt;=36,INDEX($J$13:$AS$13,1,MIN(36,Z$6+'01_가정'!$F$101)),0)</x:f>
        <x:v>45000000</x:v>
      </x:c>
      <x:c r="AA20" s="31" t="n">
        <x:f>IF(AA$6+'01_가정'!$F$101&lt;=36,INDEX($J$13:$AS$13,1,MIN(36,AA$6+'01_가정'!$F$101)),0)</x:f>
        <x:v>0</x:v>
      </x:c>
      <x:c r="AB20" s="31" t="n">
        <x:f>IF(AB$6+'01_가정'!$F$101&lt;=36,INDEX($J$13:$AS$13,1,MIN(36,AB$6+'01_가정'!$F$101)),0)</x:f>
        <x:v>0</x:v>
      </x:c>
      <x:c r="AC20" s="31" t="n">
        <x:f>IF(AC$6+'01_가정'!$F$101&lt;=36,INDEX($J$13:$AS$13,1,MIN(36,AC$6+'01_가정'!$F$101)),0)</x:f>
        <x:v>45000000</x:v>
      </x:c>
      <x:c r="AD20" s="31" t="n">
        <x:f>IF(AD$6+'01_가정'!$F$101&lt;=36,INDEX($J$13:$AS$13,1,MIN(36,AD$6+'01_가정'!$F$101)),0)</x:f>
        <x:v>0</x:v>
      </x:c>
      <x:c r="AE20" s="31" t="n">
        <x:f>IF(AE$6+'01_가정'!$F$101&lt;=36,INDEX($J$13:$AS$13,1,MIN(36,AE$6+'01_가정'!$F$101)),0)</x:f>
        <x:v>0</x:v>
      </x:c>
      <x:c r="AF20" s="31" t="n">
        <x:f>IF(AF$6+'01_가정'!$F$101&lt;=36,INDEX($J$13:$AS$13,1,MIN(36,AF$6+'01_가정'!$F$101)),0)</x:f>
        <x:v>96600000</x:v>
      </x:c>
      <x:c r="AG20" s="31" t="n">
        <x:f>IF(AG$6+'01_가정'!$F$101&lt;=36,INDEX($J$13:$AS$13,1,MIN(36,AG$6+'01_가정'!$F$101)),0)</x:f>
        <x:v>0</x:v>
      </x:c>
      <x:c r="AH20" s="31" t="n">
        <x:f>IF(AH$6+'01_가정'!$F$101&lt;=36,INDEX($J$13:$AS$13,1,MIN(36,AH$6+'01_가정'!$F$101)),0)</x:f>
        <x:v>0</x:v>
      </x:c>
      <x:c r="AI20" s="31" t="n">
        <x:f>IF(AI$6+'01_가정'!$F$101&lt;=36,INDEX($J$13:$AS$13,1,MIN(36,AI$6+'01_가정'!$F$101)),0)</x:f>
        <x:v>110400000</x:v>
      </x:c>
      <x:c r="AJ20" s="31" t="n">
        <x:f>IF(AJ$6+'01_가정'!$F$101&lt;=36,INDEX($J$13:$AS$13,1,MIN(36,AJ$6+'01_가정'!$F$101)),0)</x:f>
        <x:v>0</x:v>
      </x:c>
      <x:c r="AK20" s="31" t="n">
        <x:f>IF(AK$6+'01_가정'!$F$101&lt;=36,INDEX($J$13:$AS$13,1,MIN(36,AK$6+'01_가정'!$F$101)),0)</x:f>
        <x:v>0</x:v>
      </x:c>
      <x:c r="AL20" s="31" t="n">
        <x:f>IF(AL$6+'01_가정'!$F$101&lt;=36,INDEX($J$13:$AS$13,1,MIN(36,AL$6+'01_가정'!$F$101)),0)</x:f>
        <x:v>96600000</x:v>
      </x:c>
      <x:c r="AM20" s="31" t="n">
        <x:f>IF(AM$6+'01_가정'!$F$101&lt;=36,INDEX($J$13:$AS$13,1,MIN(36,AM$6+'01_가정'!$F$101)),0)</x:f>
        <x:v>0</x:v>
      </x:c>
      <x:c r="AN20" s="31" t="n">
        <x:f>IF(AN$6+'01_가정'!$F$101&lt;=36,INDEX($J$13:$AS$13,1,MIN(36,AN$6+'01_가정'!$F$101)),0)</x:f>
        <x:v>0</x:v>
      </x:c>
      <x:c r="AO20" s="31" t="n">
        <x:f>IF(AO$6+'01_가정'!$F$101&lt;=36,INDEX($J$13:$AS$13,1,MIN(36,AO$6+'01_가정'!$F$101)),0)</x:f>
        <x:v>96600000</x:v>
      </x:c>
      <x:c r="AP20" s="31" t="n">
        <x:f>IF(AP$6+'01_가정'!$F$101&lt;=36,INDEX($J$13:$AS$13,1,MIN(36,AP$6+'01_가정'!$F$101)),0)</x:f>
        <x:v>0</x:v>
      </x:c>
      <x:c r="AQ20" s="31" t="n">
        <x:f>IF(AQ$6+'01_가정'!$F$101&lt;=36,INDEX($J$13:$AS$13,1,MIN(36,AQ$6+'01_가정'!$F$101)),0)</x:f>
        <x:v>0</x:v>
      </x:c>
      <x:c r="AR20" s="31" t="n">
        <x:f>IF(AR$6+'01_가정'!$F$101&lt;=36,INDEX($J$13:$AS$13,1,MIN(36,AR$6+'01_가정'!$F$101)),0)</x:f>
        <x:v>0</x:v>
      </x:c>
      <x:c r="AS20" s="31" t="n">
        <x:f>IF(AS$6+'01_가정'!$F$101&lt;=36,INDEX($J$13:$AS$13,1,MIN(36,AS$6+'01_가정'!$F$101)),0)</x:f>
        <x:v>0</x:v>
      </x:c>
    </x:row>
    <x:row r="21" ht="23" customHeight="1">
      <x:c r="A21" s="2"/>
      <x:c r="B21" s="2"/>
      <x:c r="C21" s="2" t="str">
        <x:v>제조 선금 지급 VAT 포함</x:v>
      </x:c>
      <x:c r="D21" s="2" t="str">
        <x:v>원</x:v>
      </x:c>
      <x:c r="E21" s="2"/>
      <x:c r="F21" s="33" t="n">
        <x:f>SUM(J21:U21)</x:f>
        <x:v>42900000</x:v>
      </x:c>
      <x:c r="G21" s="33" t="n">
        <x:f>SUM(V21:AG21)</x:f>
        <x:v>135630000.00000003</x:v>
      </x:c>
      <x:c r="H21" s="33" t="n">
        <x:f>SUM(AH21:AS21)</x:f>
        <x:v>166980000.00000003</x:v>
      </x:c>
      <x:c r="I21" s="2"/>
      <x:c r="J21" s="31" t="n">
        <x:f>J20*'01_가정'!$F$102*(1+'01_가정'!$F$85)</x:f>
        <x:v>0</x:v>
      </x:c>
      <x:c r="K21" s="31" t="n">
        <x:f>K20*'01_가정'!$F$102*(1+'01_가정'!$F$85)</x:f>
        <x:v>0</x:v>
      </x:c>
      <x:c r="L21" s="31" t="n">
        <x:f>L20*'01_가정'!$F$102*(1+'01_가정'!$F$85)</x:f>
        <x:v>0</x:v>
      </x:c>
      <x:c r="M21" s="31" t="n">
        <x:f>M20*'01_가정'!$F$102*(1+'01_가정'!$F$85)</x:f>
        <x:v>0</x:v>
      </x:c>
      <x:c r="N21" s="31" t="n">
        <x:f>N20*'01_가정'!$F$102*(1+'01_가정'!$F$85)</x:f>
        <x:v>9075000</x:v>
      </x:c>
      <x:c r="O21" s="31" t="n">
        <x:f>O20*'01_가정'!$F$102*(1+'01_가정'!$F$85)</x:f>
        <x:v>0</x:v>
      </x:c>
      <x:c r="P21" s="31" t="n">
        <x:f>P20*'01_가정'!$F$102*(1+'01_가정'!$F$85)</x:f>
        <x:v>0</x:v>
      </x:c>
      <x:c r="Q21" s="31" t="n">
        <x:f>Q20*'01_가정'!$F$102*(1+'01_가정'!$F$85)</x:f>
        <x:v>9075000</x:v>
      </x:c>
      <x:c r="R21" s="31" t="n">
        <x:f>R20*'01_가정'!$F$102*(1+'01_가정'!$F$85)</x:f>
        <x:v>0</x:v>
      </x:c>
      <x:c r="S21" s="31" t="n">
        <x:f>S20*'01_가정'!$F$102*(1+'01_가정'!$F$85)</x:f>
        <x:v>0</x:v>
      </x:c>
      <x:c r="T21" s="31" t="n">
        <x:f>T20*'01_가정'!$F$102*(1+'01_가정'!$F$85)</x:f>
        <x:v>24750000.000000004</x:v>
      </x:c>
      <x:c r="U21" s="31" t="n">
        <x:f>U20*'01_가정'!$F$102*(1+'01_가정'!$F$85)</x:f>
        <x:v>0</x:v>
      </x:c>
      <x:c r="V21" s="31" t="n">
        <x:f>V20*'01_가정'!$F$102*(1+'01_가정'!$F$85)</x:f>
        <x:v>0</x:v>
      </x:c>
      <x:c r="W21" s="31" t="n">
        <x:f>W20*'01_가정'!$F$102*(1+'01_가정'!$F$85)</x:f>
        <x:v>33000000.000000004</x:v>
      </x:c>
      <x:c r="X21" s="31" t="n">
        <x:f>X20*'01_가정'!$F$102*(1+'01_가정'!$F$85)</x:f>
        <x:v>0</x:v>
      </x:c>
      <x:c r="Y21" s="31" t="n">
        <x:f>Y20*'01_가정'!$F$102*(1+'01_가정'!$F$85)</x:f>
        <x:v>0</x:v>
      </x:c>
      <x:c r="Z21" s="31" t="n">
        <x:f>Z20*'01_가정'!$F$102*(1+'01_가정'!$F$85)</x:f>
        <x:v>24750000.000000004</x:v>
      </x:c>
      <x:c r="AA21" s="31" t="n">
        <x:f>AA20*'01_가정'!$F$102*(1+'01_가정'!$F$85)</x:f>
        <x:v>0</x:v>
      </x:c>
      <x:c r="AB21" s="31" t="n">
        <x:f>AB20*'01_가정'!$F$102*(1+'01_가정'!$F$85)</x:f>
        <x:v>0</x:v>
      </x:c>
      <x:c r="AC21" s="31" t="n">
        <x:f>AC20*'01_가정'!$F$102*(1+'01_가정'!$F$85)</x:f>
        <x:v>24750000.000000004</x:v>
      </x:c>
      <x:c r="AD21" s="31" t="n">
        <x:f>AD20*'01_가정'!$F$102*(1+'01_가정'!$F$85)</x:f>
        <x:v>0</x:v>
      </x:c>
      <x:c r="AE21" s="31" t="n">
        <x:f>AE20*'01_가정'!$F$102*(1+'01_가정'!$F$85)</x:f>
        <x:v>0</x:v>
      </x:c>
      <x:c r="AF21" s="31" t="n">
        <x:f>AF20*'01_가정'!$F$102*(1+'01_가정'!$F$85)</x:f>
        <x:v>53130000.00000001</x:v>
      </x:c>
      <x:c r="AG21" s="31" t="n">
        <x:f>AG20*'01_가정'!$F$102*(1+'01_가정'!$F$85)</x:f>
        <x:v>0</x:v>
      </x:c>
      <x:c r="AH21" s="31" t="n">
        <x:f>AH20*'01_가정'!$F$102*(1+'01_가정'!$F$85)</x:f>
        <x:v>0</x:v>
      </x:c>
      <x:c r="AI21" s="31" t="n">
        <x:f>AI20*'01_가정'!$F$102*(1+'01_가정'!$F$85)</x:f>
        <x:v>60720000.00000001</x:v>
      </x:c>
      <x:c r="AJ21" s="31" t="n">
        <x:f>AJ20*'01_가정'!$F$102*(1+'01_가정'!$F$85)</x:f>
        <x:v>0</x:v>
      </x:c>
      <x:c r="AK21" s="31" t="n">
        <x:f>AK20*'01_가정'!$F$102*(1+'01_가정'!$F$85)</x:f>
        <x:v>0</x:v>
      </x:c>
      <x:c r="AL21" s="31" t="n">
        <x:f>AL20*'01_가정'!$F$102*(1+'01_가정'!$F$85)</x:f>
        <x:v>53130000.00000001</x:v>
      </x:c>
      <x:c r="AM21" s="31" t="n">
        <x:f>AM20*'01_가정'!$F$102*(1+'01_가정'!$F$85)</x:f>
        <x:v>0</x:v>
      </x:c>
      <x:c r="AN21" s="31" t="n">
        <x:f>AN20*'01_가정'!$F$102*(1+'01_가정'!$F$85)</x:f>
        <x:v>0</x:v>
      </x:c>
      <x:c r="AO21" s="31" t="n">
        <x:f>AO20*'01_가정'!$F$102*(1+'01_가정'!$F$85)</x:f>
        <x:v>53130000.00000001</x:v>
      </x:c>
      <x:c r="AP21" s="31" t="n">
        <x:f>AP20*'01_가정'!$F$102*(1+'01_가정'!$F$85)</x:f>
        <x:v>0</x:v>
      </x:c>
      <x:c r="AQ21" s="31" t="n">
        <x:f>AQ20*'01_가정'!$F$102*(1+'01_가정'!$F$85)</x:f>
        <x:v>0</x:v>
      </x:c>
      <x:c r="AR21" s="31" t="n">
        <x:f>AR20*'01_가정'!$F$102*(1+'01_가정'!$F$85)</x:f>
        <x:v>0</x:v>
      </x:c>
      <x:c r="AS21" s="31" t="n">
        <x:f>AS20*'01_가정'!$F$102*(1+'01_가정'!$F$85)</x:f>
        <x:v>0</x:v>
      </x:c>
    </x:row>
    <x:row r="22" ht="23" customHeight="1">
      <x:c r="A22" s="2"/>
      <x:c r="B22" s="2"/>
      <x:c r="C22" s="2" t="str">
        <x:v>제조 잔금 지급 VAT 포함</x:v>
      </x:c>
      <x:c r="D22" s="2" t="str">
        <x:v>원</x:v>
      </x:c>
      <x:c r="E22" s="2"/>
      <x:c r="F22" s="33" t="n">
        <x:f>SUM(J22:U22)</x:f>
        <x:v>18150000</x:v>
      </x:c>
      <x:c r="G22" s="33" t="n">
        <x:f>SUM(V22:AG22)</x:f>
        <x:v>107250000.00000001</x:v>
      </x:c>
      <x:c r="H22" s="33" t="n">
        <x:f>SUM(AH22:AS22)</x:f>
        <x:v>220110000.00000003</x:v>
      </x:c>
      <x:c r="I22" s="2"/>
      <x:c r="J22" s="31" t="n">
        <x:f>J13*(1-'01_가정'!$F$102)*(1+'01_가정'!$F$85)</x:f>
        <x:v>0</x:v>
      </x:c>
      <x:c r="K22" s="31" t="n">
        <x:f>K13*(1-'01_가정'!$F$102)*(1+'01_가정'!$F$85)</x:f>
        <x:v>0</x:v>
      </x:c>
      <x:c r="L22" s="31" t="n">
        <x:f>L13*(1-'01_가정'!$F$102)*(1+'01_가정'!$F$85)</x:f>
        <x:v>0</x:v>
      </x:c>
      <x:c r="M22" s="31" t="n">
        <x:f>M13*(1-'01_가정'!$F$102)*(1+'01_가정'!$F$85)</x:f>
        <x:v>0</x:v>
      </x:c>
      <x:c r="N22" s="31" t="n">
        <x:f>N13*(1-'01_가정'!$F$102)*(1+'01_가정'!$F$85)</x:f>
        <x:v>0</x:v>
      </x:c>
      <x:c r="O22" s="31" t="n">
        <x:f>O13*(1-'01_가정'!$F$102)*(1+'01_가정'!$F$85)</x:f>
        <x:v>0</x:v>
      </x:c>
      <x:c r="P22" s="31" t="n">
        <x:f>P13*(1-'01_가정'!$F$102)*(1+'01_가정'!$F$85)</x:f>
        <x:v>9075000</x:v>
      </x:c>
      <x:c r="Q22" s="31" t="n">
        <x:f>Q13*(1-'01_가정'!$F$102)*(1+'01_가정'!$F$85)</x:f>
        <x:v>0</x:v>
      </x:c>
      <x:c r="R22" s="31" t="n">
        <x:f>R13*(1-'01_가정'!$F$102)*(1+'01_가정'!$F$85)</x:f>
        <x:v>0</x:v>
      </x:c>
      <x:c r="S22" s="31" t="n">
        <x:f>S13*(1-'01_가정'!$F$102)*(1+'01_가정'!$F$85)</x:f>
        <x:v>9075000</x:v>
      </x:c>
      <x:c r="T22" s="31" t="n">
        <x:f>T13*(1-'01_가정'!$F$102)*(1+'01_가정'!$F$85)</x:f>
        <x:v>0</x:v>
      </x:c>
      <x:c r="U22" s="31" t="n">
        <x:f>U13*(1-'01_가정'!$F$102)*(1+'01_가정'!$F$85)</x:f>
        <x:v>0</x:v>
      </x:c>
      <x:c r="V22" s="31" t="n">
        <x:f>V13*(1-'01_가정'!$F$102)*(1+'01_가정'!$F$85)</x:f>
        <x:v>24750000.000000004</x:v>
      </x:c>
      <x:c r="W22" s="31" t="n">
        <x:f>W13*(1-'01_가정'!$F$102)*(1+'01_가정'!$F$85)</x:f>
        <x:v>0</x:v>
      </x:c>
      <x:c r="X22" s="31" t="n">
        <x:f>X13*(1-'01_가정'!$F$102)*(1+'01_가정'!$F$85)</x:f>
        <x:v>0</x:v>
      </x:c>
      <x:c r="Y22" s="31" t="n">
        <x:f>Y13*(1-'01_가정'!$F$102)*(1+'01_가정'!$F$85)</x:f>
        <x:v>33000000.000000004</x:v>
      </x:c>
      <x:c r="Z22" s="31" t="n">
        <x:f>Z13*(1-'01_가정'!$F$102)*(1+'01_가정'!$F$85)</x:f>
        <x:v>0</x:v>
      </x:c>
      <x:c r="AA22" s="31" t="n">
        <x:f>AA13*(1-'01_가정'!$F$102)*(1+'01_가정'!$F$85)</x:f>
        <x:v>0</x:v>
      </x:c>
      <x:c r="AB22" s="31" t="n">
        <x:f>AB13*(1-'01_가정'!$F$102)*(1+'01_가정'!$F$85)</x:f>
        <x:v>24750000.000000004</x:v>
      </x:c>
      <x:c r="AC22" s="31" t="n">
        <x:f>AC13*(1-'01_가정'!$F$102)*(1+'01_가정'!$F$85)</x:f>
        <x:v>0</x:v>
      </x:c>
      <x:c r="AD22" s="31" t="n">
        <x:f>AD13*(1-'01_가정'!$F$102)*(1+'01_가정'!$F$85)</x:f>
        <x:v>0</x:v>
      </x:c>
      <x:c r="AE22" s="31" t="n">
        <x:f>AE13*(1-'01_가정'!$F$102)*(1+'01_가정'!$F$85)</x:f>
        <x:v>24750000.000000004</x:v>
      </x:c>
      <x:c r="AF22" s="31" t="n">
        <x:f>AF13*(1-'01_가정'!$F$102)*(1+'01_가정'!$F$85)</x:f>
        <x:v>0</x:v>
      </x:c>
      <x:c r="AG22" s="31" t="n">
        <x:f>AG13*(1-'01_가정'!$F$102)*(1+'01_가정'!$F$85)</x:f>
        <x:v>0</x:v>
      </x:c>
      <x:c r="AH22" s="31" t="n">
        <x:f>AH13*(1-'01_가정'!$F$102)*(1+'01_가정'!$F$85)</x:f>
        <x:v>53130000.00000001</x:v>
      </x:c>
      <x:c r="AI22" s="31" t="n">
        <x:f>AI13*(1-'01_가정'!$F$102)*(1+'01_가정'!$F$85)</x:f>
        <x:v>0</x:v>
      </x:c>
      <x:c r="AJ22" s="31" t="n">
        <x:f>AJ13*(1-'01_가정'!$F$102)*(1+'01_가정'!$F$85)</x:f>
        <x:v>0</x:v>
      </x:c>
      <x:c r="AK22" s="31" t="n">
        <x:f>AK13*(1-'01_가정'!$F$102)*(1+'01_가정'!$F$85)</x:f>
        <x:v>60720000.00000001</x:v>
      </x:c>
      <x:c r="AL22" s="31" t="n">
        <x:f>AL13*(1-'01_가정'!$F$102)*(1+'01_가정'!$F$85)</x:f>
        <x:v>0</x:v>
      </x:c>
      <x:c r="AM22" s="31" t="n">
        <x:f>AM13*(1-'01_가정'!$F$102)*(1+'01_가정'!$F$85)</x:f>
        <x:v>0</x:v>
      </x:c>
      <x:c r="AN22" s="31" t="n">
        <x:f>AN13*(1-'01_가정'!$F$102)*(1+'01_가정'!$F$85)</x:f>
        <x:v>53130000.00000001</x:v>
      </x:c>
      <x:c r="AO22" s="31" t="n">
        <x:f>AO13*(1-'01_가정'!$F$102)*(1+'01_가정'!$F$85)</x:f>
        <x:v>0</x:v>
      </x:c>
      <x:c r="AP22" s="31" t="n">
        <x:f>AP13*(1-'01_가정'!$F$102)*(1+'01_가정'!$F$85)</x:f>
        <x:v>0</x:v>
      </x:c>
      <x:c r="AQ22" s="31" t="n">
        <x:f>AQ13*(1-'01_가정'!$F$102)*(1+'01_가정'!$F$85)</x:f>
        <x:v>53130000.00000001</x:v>
      </x:c>
      <x:c r="AR22" s="31" t="n">
        <x:f>AR13*(1-'01_가정'!$F$102)*(1+'01_가정'!$F$85)</x:f>
        <x:v>0</x:v>
      </x:c>
      <x:c r="AS22" s="31" t="n">
        <x:f>AS13*(1-'01_가정'!$F$102)*(1+'01_가정'!$F$85)</x:f>
        <x:v>0</x:v>
      </x:c>
    </x:row>
    <x:row r="23" ht="23" customHeight="1">
      <x:c r="A23" s="2"/>
      <x:c r="B23" s="2"/>
      <x:c r="C23" s="19" t="str">
        <x:v>제조 현금 지급 합계</x:v>
      </x:c>
      <x:c r="D23" s="19" t="str">
        <x:v>원</x:v>
      </x:c>
      <x:c r="E23" s="19"/>
      <x:c r="F23" s="21" t="n">
        <x:f>SUM(J23:U23)</x:f>
        <x:v>61050000</x:v>
      </x:c>
      <x:c r="G23" s="21" t="n">
        <x:f>SUM(V23:AG23)</x:f>
        <x:v>242880000.00000003</x:v>
      </x:c>
      <x:c r="H23" s="21" t="n">
        <x:f>SUM(AH23:AS23)</x:f>
        <x:v>387090000.00000006</x:v>
      </x:c>
      <x:c r="I23" s="19"/>
      <x:c r="J23" s="21" t="n">
        <x:f>SUM(J21:J22)</x:f>
        <x:v>0</x:v>
      </x:c>
      <x:c r="K23" s="21" t="n">
        <x:f>SUM(K21:K22)</x:f>
        <x:v>0</x:v>
      </x:c>
      <x:c r="L23" s="21" t="n">
        <x:f>SUM(L21:L22)</x:f>
        <x:v>0</x:v>
      </x:c>
      <x:c r="M23" s="21" t="n">
        <x:f>SUM(M21:M22)</x:f>
        <x:v>0</x:v>
      </x:c>
      <x:c r="N23" s="21" t="n">
        <x:f>SUM(N21:N22)</x:f>
        <x:v>9075000</x:v>
      </x:c>
      <x:c r="O23" s="21" t="n">
        <x:f>SUM(O21:O22)</x:f>
        <x:v>0</x:v>
      </x:c>
      <x:c r="P23" s="21" t="n">
        <x:f>SUM(P21:P22)</x:f>
        <x:v>9075000</x:v>
      </x:c>
      <x:c r="Q23" s="21" t="n">
        <x:f>SUM(Q21:Q22)</x:f>
        <x:v>9075000</x:v>
      </x:c>
      <x:c r="R23" s="21" t="n">
        <x:f>SUM(R21:R22)</x:f>
        <x:v>0</x:v>
      </x:c>
      <x:c r="S23" s="21" t="n">
        <x:f>SUM(S21:S22)</x:f>
        <x:v>9075000</x:v>
      </x:c>
      <x:c r="T23" s="21" t="n">
        <x:f>SUM(T21:T22)</x:f>
        <x:v>24750000.000000004</x:v>
      </x:c>
      <x:c r="U23" s="21" t="n">
        <x:f>SUM(U21:U22)</x:f>
        <x:v>0</x:v>
      </x:c>
      <x:c r="V23" s="21" t="n">
        <x:f>SUM(V21:V22)</x:f>
        <x:v>24750000.000000004</x:v>
      </x:c>
      <x:c r="W23" s="21" t="n">
        <x:f>SUM(W21:W22)</x:f>
        <x:v>33000000.000000004</x:v>
      </x:c>
      <x:c r="X23" s="21" t="n">
        <x:f>SUM(X21:X22)</x:f>
        <x:v>0</x:v>
      </x:c>
      <x:c r="Y23" s="21" t="n">
        <x:f>SUM(Y21:Y22)</x:f>
        <x:v>33000000.000000004</x:v>
      </x:c>
      <x:c r="Z23" s="21" t="n">
        <x:f>SUM(Z21:Z22)</x:f>
        <x:v>24750000.000000004</x:v>
      </x:c>
      <x:c r="AA23" s="21" t="n">
        <x:f>SUM(AA21:AA22)</x:f>
        <x:v>0</x:v>
      </x:c>
      <x:c r="AB23" s="21" t="n">
        <x:f>SUM(AB21:AB22)</x:f>
        <x:v>24750000.000000004</x:v>
      </x:c>
      <x:c r="AC23" s="21" t="n">
        <x:f>SUM(AC21:AC22)</x:f>
        <x:v>24750000.000000004</x:v>
      </x:c>
      <x:c r="AD23" s="21" t="n">
        <x:f>SUM(AD21:AD22)</x:f>
        <x:v>0</x:v>
      </x:c>
      <x:c r="AE23" s="21" t="n">
        <x:f>SUM(AE21:AE22)</x:f>
        <x:v>24750000.000000004</x:v>
      </x:c>
      <x:c r="AF23" s="21" t="n">
        <x:f>SUM(AF21:AF22)</x:f>
        <x:v>53130000.00000001</x:v>
      </x:c>
      <x:c r="AG23" s="21" t="n">
        <x:f>SUM(AG21:AG22)</x:f>
        <x:v>0</x:v>
      </x:c>
      <x:c r="AH23" s="21" t="n">
        <x:f>SUM(AH21:AH22)</x:f>
        <x:v>53130000.00000001</x:v>
      </x:c>
      <x:c r="AI23" s="21" t="n">
        <x:f>SUM(AI21:AI22)</x:f>
        <x:v>60720000.00000001</x:v>
      </x:c>
      <x:c r="AJ23" s="21" t="n">
        <x:f>SUM(AJ21:AJ22)</x:f>
        <x:v>0</x:v>
      </x:c>
      <x:c r="AK23" s="21" t="n">
        <x:f>SUM(AK21:AK22)</x:f>
        <x:v>60720000.00000001</x:v>
      </x:c>
      <x:c r="AL23" s="21" t="n">
        <x:f>SUM(AL21:AL22)</x:f>
        <x:v>53130000.00000001</x:v>
      </x:c>
      <x:c r="AM23" s="21" t="n">
        <x:f>SUM(AM21:AM22)</x:f>
        <x:v>0</x:v>
      </x:c>
      <x:c r="AN23" s="21" t="n">
        <x:f>SUM(AN21:AN22)</x:f>
        <x:v>53130000.00000001</x:v>
      </x:c>
      <x:c r="AO23" s="21" t="n">
        <x:f>SUM(AO21:AO22)</x:f>
        <x:v>53130000.00000001</x:v>
      </x:c>
      <x:c r="AP23" s="21" t="n">
        <x:f>SUM(AP21:AP22)</x:f>
        <x:v>0</x:v>
      </x:c>
      <x:c r="AQ23" s="21" t="n">
        <x:f>SUM(AQ21:AQ22)</x:f>
        <x:v>53130000.00000001</x:v>
      </x:c>
      <x:c r="AR23" s="21" t="n">
        <x:f>SUM(AR21:AR22)</x:f>
        <x:v>0</x:v>
      </x:c>
      <x:c r="AS23" s="21" t="n">
        <x:f>SUM(AS21:AS22)</x:f>
        <x:v>0</x:v>
      </x:c>
    </x:row>
    <x:row r="24" ht="23" customHeight="1">
      <x:c r="A24" s="2"/>
      <x:c r="B24" s="2"/>
      <x:c r="C24" s="2" t="str">
        <x:v>기말 선급금 VAT 포함</x:v>
      </x:c>
      <x:c r="D24" s="2" t="str">
        <x:v>원</x:v>
      </x:c>
      <x:c r="E24" s="2"/>
      <x:c r="F24" s="33" t="n">
        <x:f>U24</x:f>
        <x:v>24750000.000000004</x:v>
      </x:c>
      <x:c r="G24" s="33" t="n">
        <x:f>AG24</x:f>
        <x:v>53130000.00000001</x:v>
      </x:c>
      <x:c r="H24" s="33" t="n">
        <x:f>AS24</x:f>
        <x:v>0</x:v>
      </x:c>
      <x:c r="I24" s="2"/>
      <x:c r="J24" s="31" t="n">
        <x:f>0+J21-J13*'01_가정'!$F$102*(1+'01_가정'!$F$85)</x:f>
        <x:v>0</x:v>
      </x:c>
      <x:c r="K24" s="31" t="n">
        <x:f>J24+K21-K13*'01_가정'!$F$102*(1+'01_가정'!$F$85)</x:f>
        <x:v>0</x:v>
      </x:c>
      <x:c r="L24" s="31" t="n">
        <x:f>K24+L21-L13*'01_가정'!$F$102*(1+'01_가정'!$F$85)</x:f>
        <x:v>0</x:v>
      </x:c>
      <x:c r="M24" s="31" t="n">
        <x:f>L24+M21-M13*'01_가정'!$F$102*(1+'01_가정'!$F$85)</x:f>
        <x:v>0</x:v>
      </x:c>
      <x:c r="N24" s="31" t="n">
        <x:f>M24+N21-N13*'01_가정'!$F$102*(1+'01_가정'!$F$85)</x:f>
        <x:v>9075000</x:v>
      </x:c>
      <x:c r="O24" s="31" t="n">
        <x:f>N24+O21-O13*'01_가정'!$F$102*(1+'01_가정'!$F$85)</x:f>
        <x:v>9075000</x:v>
      </x:c>
      <x:c r="P24" s="31" t="n">
        <x:f>O24+P21-P13*'01_가정'!$F$102*(1+'01_가정'!$F$85)</x:f>
        <x:v>0</x:v>
      </x:c>
      <x:c r="Q24" s="31" t="n">
        <x:f>P24+Q21-Q13*'01_가정'!$F$102*(1+'01_가정'!$F$85)</x:f>
        <x:v>9075000</x:v>
      </x:c>
      <x:c r="R24" s="31" t="n">
        <x:f>Q24+R21-R13*'01_가정'!$F$102*(1+'01_가정'!$F$85)</x:f>
        <x:v>9075000</x:v>
      </x:c>
      <x:c r="S24" s="31" t="n">
        <x:f>R24+S21-S13*'01_가정'!$F$102*(1+'01_가정'!$F$85)</x:f>
        <x:v>0</x:v>
      </x:c>
      <x:c r="T24" s="31" t="n">
        <x:f>S24+T21-T13*'01_가정'!$F$102*(1+'01_가정'!$F$85)</x:f>
        <x:v>24750000.000000004</x:v>
      </x:c>
      <x:c r="U24" s="31" t="n">
        <x:f>T24+U21-U13*'01_가정'!$F$102*(1+'01_가정'!$F$85)</x:f>
        <x:v>24750000.000000004</x:v>
      </x:c>
      <x:c r="V24" s="31" t="n">
        <x:f>U24+V21-V13*'01_가정'!$F$102*(1+'01_가정'!$F$85)</x:f>
        <x:v>0</x:v>
      </x:c>
      <x:c r="W24" s="31" t="n">
        <x:f>V24+W21-W13*'01_가정'!$F$102*(1+'01_가정'!$F$85)</x:f>
        <x:v>33000000.000000004</x:v>
      </x:c>
      <x:c r="X24" s="31" t="n">
        <x:f>W24+X21-X13*'01_가정'!$F$102*(1+'01_가정'!$F$85)</x:f>
        <x:v>33000000.000000004</x:v>
      </x:c>
      <x:c r="Y24" s="31" t="n">
        <x:f>X24+Y21-Y13*'01_가정'!$F$102*(1+'01_가정'!$F$85)</x:f>
        <x:v>0</x:v>
      </x:c>
      <x:c r="Z24" s="31" t="n">
        <x:f>Y24+Z21-Z13*'01_가정'!$F$102*(1+'01_가정'!$F$85)</x:f>
        <x:v>24750000.000000004</x:v>
      </x:c>
      <x:c r="AA24" s="31" t="n">
        <x:f>Z24+AA21-AA13*'01_가정'!$F$102*(1+'01_가정'!$F$85)</x:f>
        <x:v>24750000.000000004</x:v>
      </x:c>
      <x:c r="AB24" s="31" t="n">
        <x:f>AA24+AB21-AB13*'01_가정'!$F$102*(1+'01_가정'!$F$85)</x:f>
        <x:v>0</x:v>
      </x:c>
      <x:c r="AC24" s="31" t="n">
        <x:f>AB24+AC21-AC13*'01_가정'!$F$102*(1+'01_가정'!$F$85)</x:f>
        <x:v>24750000.000000004</x:v>
      </x:c>
      <x:c r="AD24" s="31" t="n">
        <x:f>AC24+AD21-AD13*'01_가정'!$F$102*(1+'01_가정'!$F$85)</x:f>
        <x:v>24750000.000000004</x:v>
      </x:c>
      <x:c r="AE24" s="31" t="n">
        <x:f>AD24+AE21-AE13*'01_가정'!$F$102*(1+'01_가정'!$F$85)</x:f>
        <x:v>0</x:v>
      </x:c>
      <x:c r="AF24" s="31" t="n">
        <x:f>AE24+AF21-AF13*'01_가정'!$F$102*(1+'01_가정'!$F$85)</x:f>
        <x:v>53130000.00000001</x:v>
      </x:c>
      <x:c r="AG24" s="31" t="n">
        <x:f>AF24+AG21-AG13*'01_가정'!$F$102*(1+'01_가정'!$F$85)</x:f>
        <x:v>53130000.00000001</x:v>
      </x:c>
      <x:c r="AH24" s="31" t="n">
        <x:f>AG24+AH21-AH13*'01_가정'!$F$102*(1+'01_가정'!$F$85)</x:f>
        <x:v>0</x:v>
      </x:c>
      <x:c r="AI24" s="31" t="n">
        <x:f>AH24+AI21-AI13*'01_가정'!$F$102*(1+'01_가정'!$F$85)</x:f>
        <x:v>60720000.00000001</x:v>
      </x:c>
      <x:c r="AJ24" s="31" t="n">
        <x:f>AI24+AJ21-AJ13*'01_가정'!$F$102*(1+'01_가정'!$F$85)</x:f>
        <x:v>60720000.00000001</x:v>
      </x:c>
      <x:c r="AK24" s="31" t="n">
        <x:f>AJ24+AK21-AK13*'01_가정'!$F$102*(1+'01_가정'!$F$85)</x:f>
        <x:v>0</x:v>
      </x:c>
      <x:c r="AL24" s="31" t="n">
        <x:f>AK24+AL21-AL13*'01_가정'!$F$102*(1+'01_가정'!$F$85)</x:f>
        <x:v>53130000.00000001</x:v>
      </x:c>
      <x:c r="AM24" s="31" t="n">
        <x:f>AL24+AM21-AM13*'01_가정'!$F$102*(1+'01_가정'!$F$85)</x:f>
        <x:v>53130000.00000001</x:v>
      </x:c>
      <x:c r="AN24" s="31" t="n">
        <x:f>AM24+AN21-AN13*'01_가정'!$F$102*(1+'01_가정'!$F$85)</x:f>
        <x:v>0</x:v>
      </x:c>
      <x:c r="AO24" s="31" t="n">
        <x:f>AN24+AO21-AO13*'01_가정'!$F$102*(1+'01_가정'!$F$85)</x:f>
        <x:v>53130000.00000001</x:v>
      </x:c>
      <x:c r="AP24" s="31" t="n">
        <x:f>AO24+AP21-AP13*'01_가정'!$F$102*(1+'01_가정'!$F$85)</x:f>
        <x:v>53130000.00000001</x:v>
      </x:c>
      <x:c r="AQ24" s="31" t="n">
        <x:f>AP24+AQ21-AQ13*'01_가정'!$F$102*(1+'01_가정'!$F$85)</x:f>
        <x:v>0</x:v>
      </x:c>
      <x:c r="AR24" s="31" t="n">
        <x:f>AQ24+AR21-AR13*'01_가정'!$F$102*(1+'01_가정'!$F$85)</x:f>
        <x:v>0</x:v>
      </x:c>
      <x:c r="AS24" s="31" t="n">
        <x:f>AR24+AS21-AS13*'01_가정'!$F$102*(1+'01_가정'!$F$85)</x:f>
        <x:v>0</x:v>
      </x:c>
    </x:row>
    <x:row r="25" ht="23" customHeight="1">
      <x:c r="A25" s="2"/>
      <x:c r="B25" s="2"/>
      <x:c r="C25" s="2" t="str">
        <x:v>기말 납품 매출채권 VAT 포함</x:v>
      </x:c>
      <x:c r="D25" s="2" t="str">
        <x:v>원</x:v>
      </x:c>
      <x:c r="E25" s="2"/>
      <x:c r="F25" s="33" t="n">
        <x:f>U25</x:f>
        <x:v>0</x:v>
      </x:c>
      <x:c r="G25" s="33" t="n">
        <x:f>AG25</x:f>
        <x:v>0</x:v>
      </x:c>
      <x:c r="H25" s="33" t="n">
        <x:f>AS25</x:f>
        <x:v>0</x:v>
      </x:c>
      <x:c r="I25" s="2"/>
      <x:c r="J25" s="31" t="n">
        <x:f>0+'03_월별손익'!J31*(1+'01_가정'!$F$85)-J27</x:f>
        <x:v>0</x:v>
      </x:c>
      <x:c r="K25" s="31" t="n">
        <x:f>J25+'03_월별손익'!K31*(1+'01_가정'!$F$85)-K27</x:f>
        <x:v>0</x:v>
      </x:c>
      <x:c r="L25" s="31" t="n">
        <x:f>K25+'03_월별손익'!L31*(1+'01_가정'!$F$85)-L27</x:f>
        <x:v>0</x:v>
      </x:c>
      <x:c r="M25" s="31" t="n">
        <x:f>L25+'03_월별손익'!M31*(1+'01_가정'!$F$85)-M27</x:f>
        <x:v>0</x:v>
      </x:c>
      <x:c r="N25" s="31" t="n">
        <x:f>M25+'03_월별손익'!N31*(1+'01_가정'!$F$85)-N27</x:f>
        <x:v>0</x:v>
      </x:c>
      <x:c r="O25" s="31" t="n">
        <x:f>N25+'03_월별손익'!O31*(1+'01_가정'!$F$85)-O27</x:f>
        <x:v>0</x:v>
      </x:c>
      <x:c r="P25" s="31" t="n">
        <x:f>O25+'03_월별손익'!P31*(1+'01_가정'!$F$85)-P27</x:f>
        <x:v>0</x:v>
      </x:c>
      <x:c r="Q25" s="31" t="n">
        <x:f>P25+'03_월별손익'!Q31*(1+'01_가정'!$F$85)-Q27</x:f>
        <x:v>0</x:v>
      </x:c>
      <x:c r="R25" s="31" t="n">
        <x:f>Q25+'03_월별손익'!R31*(1+'01_가정'!$F$85)-R27</x:f>
        <x:v>0</x:v>
      </x:c>
      <x:c r="S25" s="31" t="n">
        <x:f>R25+'03_월별손익'!S31*(1+'01_가정'!$F$85)-S27</x:f>
        <x:v>0</x:v>
      </x:c>
      <x:c r="T25" s="31" t="n">
        <x:f>S25+'03_월별손익'!T31*(1+'01_가정'!$F$85)-T27</x:f>
        <x:v>0</x:v>
      </x:c>
      <x:c r="U25" s="31" t="n">
        <x:f>T25+'03_월별손익'!U31*(1+'01_가정'!$F$85)-U27</x:f>
        <x:v>0</x:v>
      </x:c>
      <x:c r="V25" s="31" t="n">
        <x:f>U25+'03_월별손익'!V31*(1+'01_가정'!$F$85)-V27</x:f>
        <x:v>0</x:v>
      </x:c>
      <x:c r="W25" s="31" t="n">
        <x:f>V25+'03_월별손익'!W31*(1+'01_가정'!$F$85)-W27</x:f>
        <x:v>0</x:v>
      </x:c>
      <x:c r="X25" s="31" t="n">
        <x:f>W25+'03_월별손익'!X31*(1+'01_가정'!$F$85)-X27</x:f>
        <x:v>0</x:v>
      </x:c>
      <x:c r="Y25" s="31" t="n">
        <x:f>X25+'03_월별손익'!Y31*(1+'01_가정'!$F$85)-Y27</x:f>
        <x:v>0</x:v>
      </x:c>
      <x:c r="Z25" s="31" t="n">
        <x:f>Y25+'03_월별손익'!Z31*(1+'01_가정'!$F$85)-Z27</x:f>
        <x:v>0</x:v>
      </x:c>
      <x:c r="AA25" s="31" t="n">
        <x:f>Z25+'03_월별손익'!AA31*(1+'01_가정'!$F$85)-AA27</x:f>
        <x:v>0</x:v>
      </x:c>
      <x:c r="AB25" s="31" t="n">
        <x:f>AA25+'03_월별손익'!AB31*(1+'01_가정'!$F$85)-AB27</x:f>
        <x:v>0</x:v>
      </x:c>
      <x:c r="AC25" s="31" t="n">
        <x:f>AB25+'03_월별손익'!AC31*(1+'01_가정'!$F$85)-AC27</x:f>
        <x:v>0</x:v>
      </x:c>
      <x:c r="AD25" s="31" t="n">
        <x:f>AC25+'03_월별손익'!AD31*(1+'01_가정'!$F$85)-AD27</x:f>
        <x:v>0</x:v>
      </x:c>
      <x:c r="AE25" s="31" t="n">
        <x:f>AD25+'03_월별손익'!AE31*(1+'01_가정'!$F$85)-AE27</x:f>
        <x:v>0</x:v>
      </x:c>
      <x:c r="AF25" s="31" t="n">
        <x:f>AE25+'03_월별손익'!AF31*(1+'01_가정'!$F$85)-AF27</x:f>
        <x:v>0</x:v>
      </x:c>
      <x:c r="AG25" s="31" t="n">
        <x:f>AF25+'03_월별손익'!AG31*(1+'01_가정'!$F$85)-AG27</x:f>
        <x:v>0</x:v>
      </x:c>
      <x:c r="AH25" s="31" t="n">
        <x:f>AG25+'03_월별손익'!AH31*(1+'01_가정'!$F$85)-AH27</x:f>
        <x:v>0</x:v>
      </x:c>
      <x:c r="AI25" s="31" t="n">
        <x:f>AH25+'03_월별손익'!AI31*(1+'01_가정'!$F$85)-AI27</x:f>
        <x:v>0</x:v>
      </x:c>
      <x:c r="AJ25" s="31" t="n">
        <x:f>AI25+'03_월별손익'!AJ31*(1+'01_가정'!$F$85)-AJ27</x:f>
        <x:v>0</x:v>
      </x:c>
      <x:c r="AK25" s="31" t="n">
        <x:f>AJ25+'03_월별손익'!AK31*(1+'01_가정'!$F$85)-AK27</x:f>
        <x:v>0</x:v>
      </x:c>
      <x:c r="AL25" s="31" t="n">
        <x:f>AK25+'03_월별손익'!AL31*(1+'01_가정'!$F$85)-AL27</x:f>
        <x:v>0</x:v>
      </x:c>
      <x:c r="AM25" s="31" t="n">
        <x:f>AL25+'03_월별손익'!AM31*(1+'01_가정'!$F$85)-AM27</x:f>
        <x:v>0</x:v>
      </x:c>
      <x:c r="AN25" s="31" t="n">
        <x:f>AM25+'03_월별손익'!AN31*(1+'01_가정'!$F$85)-AN27</x:f>
        <x:v>0</x:v>
      </x:c>
      <x:c r="AO25" s="31" t="n">
        <x:f>AN25+'03_월별손익'!AO31*(1+'01_가정'!$F$85)-AO27</x:f>
        <x:v>0</x:v>
      </x:c>
      <x:c r="AP25" s="31" t="n">
        <x:f>AO25+'03_월별손익'!AP31*(1+'01_가정'!$F$85)-AP27</x:f>
        <x:v>0</x:v>
      </x:c>
      <x:c r="AQ25" s="31" t="n">
        <x:f>AP25+'03_월별손익'!AQ31*(1+'01_가정'!$F$85)-AQ27</x:f>
        <x:v>0</x:v>
      </x:c>
      <x:c r="AR25" s="31" t="n">
        <x:f>AQ25+'03_월별손익'!AR31*(1+'01_가정'!$F$85)-AR27</x:f>
        <x:v>0</x:v>
      </x:c>
      <x:c r="AS25" s="31" t="n">
        <x:f>AR25+'03_월별손익'!AS31*(1+'01_가정'!$F$85)-AS27</x:f>
        <x:v>0</x:v>
      </x:c>
    </x:row>
    <x:row r="26" ht="23" customHeight="1">
      <x:c r="A26" s="2"/>
      <x:c r="B26" s="2"/>
      <x:c r="C26" s="2" t="str">
        <x:v>DTC 본체 수금 VAT 포함</x:v>
      </x:c>
      <x:c r="D26" s="2" t="str">
        <x:v>원</x:v>
      </x:c>
      <x:c r="E26" s="2"/>
      <x:c r="F26" s="33" t="n">
        <x:f>SUM(J26:U26)</x:f>
        <x:v>57299440</x:v>
      </x:c>
      <x:c r="G26" s="33" t="n">
        <x:f>SUM(V26:AG26)</x:f>
        <x:v>523794600</x:v>
      </x:c>
      <x:c r="H26" s="33" t="n">
        <x:f>SUM(AH26:AS26)</x:f>
        <x:v>1235329200</x:v>
      </x:c>
      <x:c r="I26" s="2"/>
      <x:c r="J26" s="31" t="n">
        <x:f>'03_월별손익'!J30*(1+'01_가정'!$F$85)</x:f>
        <x:v>0</x:v>
      </x:c>
      <x:c r="K26" s="31" t="n">
        <x:f>'03_월별손익'!K30*(1+'01_가정'!$F$85)</x:f>
        <x:v>0</x:v>
      </x:c>
      <x:c r="L26" s="31" t="n">
        <x:f>'03_월별손익'!L30*(1+'01_가정'!$F$85)</x:f>
        <x:v>0</x:v>
      </x:c>
      <x:c r="M26" s="31" t="n">
        <x:f>'03_월별손익'!M30*(1+'01_가정'!$F$85)</x:f>
        <x:v>0</x:v>
      </x:c>
      <x:c r="N26" s="31" t="n">
        <x:f>'03_월별손익'!N30*(1+'01_가정'!$F$85)</x:f>
        <x:v>0</x:v>
      </x:c>
      <x:c r="O26" s="31" t="n">
        <x:f>'03_월별손익'!O30*(1+'01_가정'!$F$85)</x:f>
        <x:v>0</x:v>
      </x:c>
      <x:c r="P26" s="31" t="n">
        <x:f>'03_월별손익'!P30*(1+'01_가정'!$F$85)</x:f>
        <x:v>5346120</x:v>
      </x:c>
      <x:c r="Q26" s="31" t="n">
        <x:f>'03_월별손익'!Q30*(1+'01_가정'!$F$85)</x:f>
        <x:v>8087720</x:v>
      </x:c>
      <x:c r="R26" s="31" t="n">
        <x:f>'03_월별손익'!R30*(1+'01_가정'!$F$85)</x:f>
        <x:v>10966400</x:v>
      </x:c>
      <x:c r="S26" s="31" t="n">
        <x:f>'03_월별손익'!S30*(1+'01_가정'!$F$85)</x:f>
        <x:v>10966400</x:v>
      </x:c>
      <x:c r="T26" s="31" t="n">
        <x:f>'03_월별손익'!T30*(1+'01_가정'!$F$85)</x:f>
        <x:v>10966400</x:v>
      </x:c>
      <x:c r="U26" s="31" t="n">
        <x:f>'03_월별손익'!U30*(1+'01_가정'!$F$85)</x:f>
        <x:v>10966400</x:v>
      </x:c>
      <x:c r="V26" s="31" t="n">
        <x:f>'03_월별손익'!V30*(1+'01_가정'!$F$85)</x:f>
        <x:v>43649550</x:v>
      </x:c>
      <x:c r="W26" s="31" t="n">
        <x:f>'03_월별손익'!W30*(1+'01_가정'!$F$85)</x:f>
        <x:v>43649550</x:v>
      </x:c>
      <x:c r="X26" s="31" t="n">
        <x:f>'03_월별손익'!X30*(1+'01_가정'!$F$85)</x:f>
        <x:v>43649550</x:v>
      </x:c>
      <x:c r="Y26" s="31" t="n">
        <x:f>'03_월별손익'!Y30*(1+'01_가정'!$F$85)</x:f>
        <x:v>43649550</x:v>
      </x:c>
      <x:c r="Z26" s="31" t="n">
        <x:f>'03_월별손익'!Z30*(1+'01_가정'!$F$85)</x:f>
        <x:v>43649550</x:v>
      </x:c>
      <x:c r="AA26" s="31" t="n">
        <x:f>'03_월별손익'!AA30*(1+'01_가정'!$F$85)</x:f>
        <x:v>43649550</x:v>
      </x:c>
      <x:c r="AB26" s="31" t="n">
        <x:f>'03_월별손익'!AB30*(1+'01_가정'!$F$85)</x:f>
        <x:v>43649550</x:v>
      </x:c>
      <x:c r="AC26" s="31" t="n">
        <x:f>'03_월별손익'!AC30*(1+'01_가정'!$F$85)</x:f>
        <x:v>43649550</x:v>
      </x:c>
      <x:c r="AD26" s="31" t="n">
        <x:f>'03_월별손익'!AD30*(1+'01_가정'!$F$85)</x:f>
        <x:v>43649550</x:v>
      </x:c>
      <x:c r="AE26" s="31" t="n">
        <x:f>'03_월별손익'!AE30*(1+'01_가정'!$F$85)</x:f>
        <x:v>43649550</x:v>
      </x:c>
      <x:c r="AF26" s="31" t="n">
        <x:f>'03_월별손익'!AF30*(1+'01_가정'!$F$85)</x:f>
        <x:v>43649550</x:v>
      </x:c>
      <x:c r="AG26" s="31" t="n">
        <x:f>'03_월별손익'!AG30*(1+'01_가정'!$F$85)</x:f>
        <x:v>43649550</x:v>
      </x:c>
      <x:c r="AH26" s="31" t="n">
        <x:f>'03_월별손익'!AH30*(1+'01_가정'!$F$85)</x:f>
        <x:v>102944100</x:v>
      </x:c>
      <x:c r="AI26" s="31" t="n">
        <x:f>'03_월별손익'!AI30*(1+'01_가정'!$F$85)</x:f>
        <x:v>102944100</x:v>
      </x:c>
      <x:c r="AJ26" s="31" t="n">
        <x:f>'03_월별손익'!AJ30*(1+'01_가정'!$F$85)</x:f>
        <x:v>102944100</x:v>
      </x:c>
      <x:c r="AK26" s="31" t="n">
        <x:f>'03_월별손익'!AK30*(1+'01_가정'!$F$85)</x:f>
        <x:v>102944100</x:v>
      </x:c>
      <x:c r="AL26" s="31" t="n">
        <x:f>'03_월별손익'!AL30*(1+'01_가정'!$F$85)</x:f>
        <x:v>102944100</x:v>
      </x:c>
      <x:c r="AM26" s="31" t="n">
        <x:f>'03_월별손익'!AM30*(1+'01_가정'!$F$85)</x:f>
        <x:v>102944100</x:v>
      </x:c>
      <x:c r="AN26" s="31" t="n">
        <x:f>'03_월별손익'!AN30*(1+'01_가정'!$F$85)</x:f>
        <x:v>102944100</x:v>
      </x:c>
      <x:c r="AO26" s="31" t="n">
        <x:f>'03_월별손익'!AO30*(1+'01_가정'!$F$85)</x:f>
        <x:v>102944100</x:v>
      </x:c>
      <x:c r="AP26" s="31" t="n">
        <x:f>'03_월별손익'!AP30*(1+'01_가정'!$F$85)</x:f>
        <x:v>102944100</x:v>
      </x:c>
      <x:c r="AQ26" s="31" t="n">
        <x:f>'03_월별손익'!AQ30*(1+'01_가정'!$F$85)</x:f>
        <x:v>102944100</x:v>
      </x:c>
      <x:c r="AR26" s="31" t="n">
        <x:f>'03_월별손익'!AR30*(1+'01_가정'!$F$85)</x:f>
        <x:v>102944100</x:v>
      </x:c>
      <x:c r="AS26" s="31" t="n">
        <x:f>'03_월별손익'!AS30*(1+'01_가정'!$F$85)</x:f>
        <x:v>102944100</x:v>
      </x:c>
    </x:row>
    <x:row r="27" ht="23" customHeight="1">
      <x:c r="A27" s="2"/>
      <x:c r="B27" s="2"/>
      <x:c r="C27" s="2" t="str">
        <x:v>리테일 수금 VAT 포함</x:v>
      </x:c>
      <x:c r="D27" s="2" t="str">
        <x:v>원</x:v>
      </x:c>
      <x:c r="E27" s="2"/>
      <x:c r="F27" s="33" t="n">
        <x:f>SUM(J27:U27)</x:f>
        <x:v>0</x:v>
      </x:c>
      <x:c r="G27" s="33" t="n">
        <x:f>SUM(V27:AG27)</x:f>
        <x:v>0</x:v>
      </x:c>
      <x:c r="H27" s="33" t="n">
        <x:f>SUM(AH27:AS27)</x:f>
        <x:v>0</x:v>
      </x:c>
      <x:c r="I27" s="2"/>
      <x:c r="J27" s="31" t="n">
        <x:f>IF(J$6&gt;'01_가정'!$F$96,INDEX('03_월별손익'!$J$31:$AS$31,1,MAX(1,J$6-'01_가정'!$F$96))*(1+'01_가정'!$F$85),0)</x:f>
        <x:v>0</x:v>
      </x:c>
      <x:c r="K27" s="31" t="n">
        <x:f>IF(K$6&gt;'01_가정'!$F$96,INDEX('03_월별손익'!$J$31:$AS$31,1,MAX(1,K$6-'01_가정'!$F$96))*(1+'01_가정'!$F$85),0)</x:f>
        <x:v>0</x:v>
      </x:c>
      <x:c r="L27" s="31" t="n">
        <x:f>IF(L$6&gt;'01_가정'!$F$96,INDEX('03_월별손익'!$J$31:$AS$31,1,MAX(1,L$6-'01_가정'!$F$96))*(1+'01_가정'!$F$85),0)</x:f>
        <x:v>0</x:v>
      </x:c>
      <x:c r="M27" s="31" t="n">
        <x:f>IF(M$6&gt;'01_가정'!$F$96,INDEX('03_월별손익'!$J$31:$AS$31,1,MAX(1,M$6-'01_가정'!$F$96))*(1+'01_가정'!$F$85),0)</x:f>
        <x:v>0</x:v>
      </x:c>
      <x:c r="N27" s="31" t="n">
        <x:f>IF(N$6&gt;'01_가정'!$F$96,INDEX('03_월별손익'!$J$31:$AS$31,1,MAX(1,N$6-'01_가정'!$F$96))*(1+'01_가정'!$F$85),0)</x:f>
        <x:v>0</x:v>
      </x:c>
      <x:c r="O27" s="31" t="n">
        <x:f>IF(O$6&gt;'01_가정'!$F$96,INDEX('03_월별손익'!$J$31:$AS$31,1,MAX(1,O$6-'01_가정'!$F$96))*(1+'01_가정'!$F$85),0)</x:f>
        <x:v>0</x:v>
      </x:c>
      <x:c r="P27" s="31" t="n">
        <x:f>IF(P$6&gt;'01_가정'!$F$96,INDEX('03_월별손익'!$J$31:$AS$31,1,MAX(1,P$6-'01_가정'!$F$96))*(1+'01_가정'!$F$85),0)</x:f>
        <x:v>0</x:v>
      </x:c>
      <x:c r="Q27" s="31" t="n">
        <x:f>IF(Q$6&gt;'01_가정'!$F$96,INDEX('03_월별손익'!$J$31:$AS$31,1,MAX(1,Q$6-'01_가정'!$F$96))*(1+'01_가정'!$F$85),0)</x:f>
        <x:v>0</x:v>
      </x:c>
      <x:c r="R27" s="31" t="n">
        <x:f>IF(R$6&gt;'01_가정'!$F$96,INDEX('03_월별손익'!$J$31:$AS$31,1,MAX(1,R$6-'01_가정'!$F$96))*(1+'01_가정'!$F$85),0)</x:f>
        <x:v>0</x:v>
      </x:c>
      <x:c r="S27" s="31" t="n">
        <x:f>IF(S$6&gt;'01_가정'!$F$96,INDEX('03_월별손익'!$J$31:$AS$31,1,MAX(1,S$6-'01_가정'!$F$96))*(1+'01_가정'!$F$85),0)</x:f>
        <x:v>0</x:v>
      </x:c>
      <x:c r="T27" s="31" t="n">
        <x:f>IF(T$6&gt;'01_가정'!$F$96,INDEX('03_월별손익'!$J$31:$AS$31,1,MAX(1,T$6-'01_가정'!$F$96))*(1+'01_가정'!$F$85),0)</x:f>
        <x:v>0</x:v>
      </x:c>
      <x:c r="U27" s="31" t="n">
        <x:f>IF(U$6&gt;'01_가정'!$F$96,INDEX('03_월별손익'!$J$31:$AS$31,1,MAX(1,U$6-'01_가정'!$F$96))*(1+'01_가정'!$F$85),0)</x:f>
        <x:v>0</x:v>
      </x:c>
      <x:c r="V27" s="31" t="n">
        <x:f>IF(V$6&gt;'01_가정'!$F$96,INDEX('03_월별손익'!$J$31:$AS$31,1,MAX(1,V$6-'01_가정'!$F$96))*(1+'01_가정'!$F$85),0)</x:f>
        <x:v>0</x:v>
      </x:c>
      <x:c r="W27" s="31" t="n">
        <x:f>IF(W$6&gt;'01_가정'!$F$96,INDEX('03_월별손익'!$J$31:$AS$31,1,MAX(1,W$6-'01_가정'!$F$96))*(1+'01_가정'!$F$85),0)</x:f>
        <x:v>0</x:v>
      </x:c>
      <x:c r="X27" s="31" t="n">
        <x:f>IF(X$6&gt;'01_가정'!$F$96,INDEX('03_월별손익'!$J$31:$AS$31,1,MAX(1,X$6-'01_가정'!$F$96))*(1+'01_가정'!$F$85),0)</x:f>
        <x:v>0</x:v>
      </x:c>
      <x:c r="Y27" s="31" t="n">
        <x:f>IF(Y$6&gt;'01_가정'!$F$96,INDEX('03_월별손익'!$J$31:$AS$31,1,MAX(1,Y$6-'01_가정'!$F$96))*(1+'01_가정'!$F$85),0)</x:f>
        <x:v>0</x:v>
      </x:c>
      <x:c r="Z27" s="31" t="n">
        <x:f>IF(Z$6&gt;'01_가정'!$F$96,INDEX('03_월별손익'!$J$31:$AS$31,1,MAX(1,Z$6-'01_가정'!$F$96))*(1+'01_가정'!$F$85),0)</x:f>
        <x:v>0</x:v>
      </x:c>
      <x:c r="AA27" s="31" t="n">
        <x:f>IF(AA$6&gt;'01_가정'!$F$96,INDEX('03_월별손익'!$J$31:$AS$31,1,MAX(1,AA$6-'01_가정'!$F$96))*(1+'01_가정'!$F$85),0)</x:f>
        <x:v>0</x:v>
      </x:c>
      <x:c r="AB27" s="31" t="n">
        <x:f>IF(AB$6&gt;'01_가정'!$F$96,INDEX('03_월별손익'!$J$31:$AS$31,1,MAX(1,AB$6-'01_가정'!$F$96))*(1+'01_가정'!$F$85),0)</x:f>
        <x:v>0</x:v>
      </x:c>
      <x:c r="AC27" s="31" t="n">
        <x:f>IF(AC$6&gt;'01_가정'!$F$96,INDEX('03_월별손익'!$J$31:$AS$31,1,MAX(1,AC$6-'01_가정'!$F$96))*(1+'01_가정'!$F$85),0)</x:f>
        <x:v>0</x:v>
      </x:c>
      <x:c r="AD27" s="31" t="n">
        <x:f>IF(AD$6&gt;'01_가정'!$F$96,INDEX('03_월별손익'!$J$31:$AS$31,1,MAX(1,AD$6-'01_가정'!$F$96))*(1+'01_가정'!$F$85),0)</x:f>
        <x:v>0</x:v>
      </x:c>
      <x:c r="AE27" s="31" t="n">
        <x:f>IF(AE$6&gt;'01_가정'!$F$96,INDEX('03_월별손익'!$J$31:$AS$31,1,MAX(1,AE$6-'01_가정'!$F$96))*(1+'01_가정'!$F$85),0)</x:f>
        <x:v>0</x:v>
      </x:c>
      <x:c r="AF27" s="31" t="n">
        <x:f>IF(AF$6&gt;'01_가정'!$F$96,INDEX('03_월별손익'!$J$31:$AS$31,1,MAX(1,AF$6-'01_가정'!$F$96))*(1+'01_가정'!$F$85),0)</x:f>
        <x:v>0</x:v>
      </x:c>
      <x:c r="AG27" s="31" t="n">
        <x:f>IF(AG$6&gt;'01_가정'!$F$96,INDEX('03_월별손익'!$J$31:$AS$31,1,MAX(1,AG$6-'01_가정'!$F$96))*(1+'01_가정'!$F$85),0)</x:f>
        <x:v>0</x:v>
      </x:c>
      <x:c r="AH27" s="31" t="n">
        <x:f>IF(AH$6&gt;'01_가정'!$F$96,INDEX('03_월별손익'!$J$31:$AS$31,1,MAX(1,AH$6-'01_가정'!$F$96))*(1+'01_가정'!$F$85),0)</x:f>
        <x:v>0</x:v>
      </x:c>
      <x:c r="AI27" s="31" t="n">
        <x:f>IF(AI$6&gt;'01_가정'!$F$96,INDEX('03_월별손익'!$J$31:$AS$31,1,MAX(1,AI$6-'01_가정'!$F$96))*(1+'01_가정'!$F$85),0)</x:f>
        <x:v>0</x:v>
      </x:c>
      <x:c r="AJ27" s="31" t="n">
        <x:f>IF(AJ$6&gt;'01_가정'!$F$96,INDEX('03_월별손익'!$J$31:$AS$31,1,MAX(1,AJ$6-'01_가정'!$F$96))*(1+'01_가정'!$F$85),0)</x:f>
        <x:v>0</x:v>
      </x:c>
      <x:c r="AK27" s="31" t="n">
        <x:f>IF(AK$6&gt;'01_가정'!$F$96,INDEX('03_월별손익'!$J$31:$AS$31,1,MAX(1,AK$6-'01_가정'!$F$96))*(1+'01_가정'!$F$85),0)</x:f>
        <x:v>0</x:v>
      </x:c>
      <x:c r="AL27" s="31" t="n">
        <x:f>IF(AL$6&gt;'01_가정'!$F$96,INDEX('03_월별손익'!$J$31:$AS$31,1,MAX(1,AL$6-'01_가정'!$F$96))*(1+'01_가정'!$F$85),0)</x:f>
        <x:v>0</x:v>
      </x:c>
      <x:c r="AM27" s="31" t="n">
        <x:f>IF(AM$6&gt;'01_가정'!$F$96,INDEX('03_월별손익'!$J$31:$AS$31,1,MAX(1,AM$6-'01_가정'!$F$96))*(1+'01_가정'!$F$85),0)</x:f>
        <x:v>0</x:v>
      </x:c>
      <x:c r="AN27" s="31" t="n">
        <x:f>IF(AN$6&gt;'01_가정'!$F$96,INDEX('03_월별손익'!$J$31:$AS$31,1,MAX(1,AN$6-'01_가정'!$F$96))*(1+'01_가정'!$F$85),0)</x:f>
        <x:v>0</x:v>
      </x:c>
      <x:c r="AO27" s="31" t="n">
        <x:f>IF(AO$6&gt;'01_가정'!$F$96,INDEX('03_월별손익'!$J$31:$AS$31,1,MAX(1,AO$6-'01_가정'!$F$96))*(1+'01_가정'!$F$85),0)</x:f>
        <x:v>0</x:v>
      </x:c>
      <x:c r="AP27" s="31" t="n">
        <x:f>IF(AP$6&gt;'01_가정'!$F$96,INDEX('03_월별손익'!$J$31:$AS$31,1,MAX(1,AP$6-'01_가정'!$F$96))*(1+'01_가정'!$F$85),0)</x:f>
        <x:v>0</x:v>
      </x:c>
      <x:c r="AQ27" s="31" t="n">
        <x:f>IF(AQ$6&gt;'01_가정'!$F$96,INDEX('03_월별손익'!$J$31:$AS$31,1,MAX(1,AQ$6-'01_가정'!$F$96))*(1+'01_가정'!$F$85),0)</x:f>
        <x:v>0</x:v>
      </x:c>
      <x:c r="AR27" s="31" t="n">
        <x:f>IF(AR$6&gt;'01_가정'!$F$96,INDEX('03_월별손익'!$J$31:$AS$31,1,MAX(1,AR$6-'01_가정'!$F$96))*(1+'01_가정'!$F$85),0)</x:f>
        <x:v>0</x:v>
      </x:c>
      <x:c r="AS27" s="31" t="n">
        <x:f>IF(AS$6&gt;'01_가정'!$F$96,INDEX('03_월별손익'!$J$31:$AS$31,1,MAX(1,AS$6-'01_가정'!$F$96))*(1+'01_가정'!$F$85),0)</x:f>
        <x:v>0</x:v>
      </x:c>
    </x:row>
    <x:row r="28" ht="23" customHeight="1">
      <x:c r="A28" s="2"/>
      <x:c r="B28" s="2"/>
      <x:c r="C28" s="2" t="str">
        <x:v>리필 수금 VAT 포함</x:v>
      </x:c>
      <x:c r="D28" s="2" t="str">
        <x:v>원</x:v>
      </x:c>
      <x:c r="E28" s="2"/>
      <x:c r="F28" s="33" t="n">
        <x:f>SUM(J28:U28)</x:f>
        <x:v>2359304.109834</x:v>
      </x:c>
      <x:c r="G28" s="33" t="n">
        <x:f>SUM(V28:AG28)</x:f>
        <x:v>62641813.28776706</x:v>
      </x:c>
      <x:c r="H28" s="33" t="n">
        <x:f>SUM(AH28:AS28)</x:f>
        <x:v>225798898.24501732</x:v>
      </x:c>
      <x:c r="I28" s="2"/>
      <x:c r="J28" s="31" t="n">
        <x:f>'03_월별손익'!J32*(1+'01_가정'!$F$85)</x:f>
        <x:v>0</x:v>
      </x:c>
      <x:c r="K28" s="31" t="n">
        <x:f>'03_월별손익'!K32*(1+'01_가정'!$F$85)</x:f>
        <x:v>0</x:v>
      </x:c>
      <x:c r="L28" s="31" t="n">
        <x:f>'03_월별손익'!L32*(1+'01_가정'!$F$85)</x:f>
        <x:v>0</x:v>
      </x:c>
      <x:c r="M28" s="31" t="n">
        <x:f>'03_월별손익'!M32*(1+'01_가정'!$F$85)</x:f>
        <x:v>0</x:v>
      </x:c>
      <x:c r="N28" s="31" t="n">
        <x:f>'03_월별손익'!N32*(1+'01_가정'!$F$85)</x:f>
        <x:v>0</x:v>
      </x:c>
      <x:c r="O28" s="31" t="n">
        <x:f>'03_월별손익'!O32*(1+'01_가정'!$F$85)</x:f>
        <x:v>0</x:v>
      </x:c>
      <x:c r="P28" s="31" t="n">
        <x:f>'03_월별손익'!P32*(1+'01_가정'!$F$85)</x:f>
        <x:v>0</x:v>
      </x:c>
      <x:c r="Q28" s="31" t="n">
        <x:f>'03_월별손익'!Q32*(1+'01_가정'!$F$85)</x:f>
        <x:v>113398.74000000002</x:v>
      </x:c>
      <x:c r="R28" s="31" t="n">
        <x:f>'03_월별손익'!R32*(1+'01_가정'!$F$85)</x:f>
        <x:v>273610.806</x:v>
      </x:c>
      <x:c r="S28" s="31" t="n">
        <x:f>'03_월별손익'!S32*(1+'01_가정'!$F$85)</x:f>
        <x:v>478862.5254</x:v>
      </x:c>
      <x:c r="T28" s="31" t="n">
        <x:f>'03_월별손익'!T32*(1+'01_가정'!$F$85)</x:f>
        <x:v>663589.07286</x:v>
      </x:c>
      <x:c r="U28" s="31" t="n">
        <x:f>'03_월별손익'!U32*(1+'01_가정'!$F$85)</x:f>
        <x:v>829842.9655739999</x:v>
      </x:c>
      <x:c r="V28" s="31" t="n">
        <x:f>'03_월별손익'!V32*(1+'01_가정'!$F$85)</x:f>
        <x:v>987769.89867234</x:v>
      </x:c>
      <x:c r="W28" s="31" t="n">
        <x:f>'03_월별손익'!W32*(1+'01_가정'!$F$85)</x:f>
        <x:v>2009912.777791829</x:v>
      </x:c>
      <x:c r="X28" s="31" t="n">
        <x:f>'03_월별손익'!X32*(1+'01_가정'!$F$85)</x:f>
        <x:v>2940062.797790564</x:v>
      </x:c>
      <x:c r="Y28" s="31" t="n">
        <x:f>'03_월별손익'!Y32*(1+'01_가정'!$F$85)</x:f>
        <x:v>3786499.3159894138</x:v>
      </x:c>
      <x:c r="Z28" s="31" t="n">
        <x:f>'03_월별손익'!Z32*(1+'01_가정'!$F$85)</x:f>
        <x:v>4556756.547550366</x:v>
      </x:c>
      <x:c r="AA28" s="31" t="n">
        <x:f>'03_월별손익'!AA32*(1+'01_가정'!$F$85)</x:f>
        <x:v>5257690.628270834</x:v>
      </x:c>
      <x:c r="AB28" s="31" t="n">
        <x:f>'03_월별손익'!AB32*(1+'01_가정'!$F$85)</x:f>
        <x:v>5895540.641726458</x:v>
      </x:c>
      <x:c r="AC28" s="31" t="n">
        <x:f>'03_월별손익'!AC32*(1+'01_가정'!$F$85)</x:f>
        <x:v>6475984.153971077</x:v>
      </x:c>
      <x:c r="AD28" s="31" t="n">
        <x:f>'03_월별손익'!AD32*(1+'01_가정'!$F$85)</x:f>
        <x:v>7004187.75011368</x:v>
      </x:c>
      <x:c r="AE28" s="31" t="n">
        <x:f>'03_월별손익'!AE32*(1+'01_가정'!$F$85)</x:f>
        <x:v>7484853.0226034485</x:v>
      </x:c>
      <x:c r="AF28" s="31" t="n">
        <x:f>'03_월별손익'!AF32*(1+'01_가정'!$F$85)</x:f>
        <x:v>7922258.420569138</x:v>
      </x:c>
      <x:c r="AG28" s="31" t="n">
        <x:f>'03_월별손익'!AG32*(1+'01_가정'!$F$85)</x:f>
        <x:v>8320297.332717916</x:v>
      </x:c>
      <x:c r="AH28" s="31" t="n">
        <x:f>'03_월별손익'!AH32*(1+'01_가정'!$F$85)</x:f>
        <x:v>8765715.716100484</x:v>
      </x:c>
      <x:c r="AI28" s="31" t="n">
        <x:f>'03_월별손익'!AI32*(1+'01_가정'!$F$85)</x:f>
        <x:v>11121483.688812446</x:v>
      </x:c>
      <x:c r="AJ28" s="31" t="n">
        <x:f>'03_월별손익'!AJ32*(1+'01_가정'!$F$85)</x:f>
        <x:v>13288790.22370745</x:v>
      </x:c>
      <x:c r="AK28" s="31" t="n">
        <x:f>'03_월별손익'!AK32*(1+'01_가정'!$F$85)</x:f>
        <x:v>15282712.235810854</x:v>
      </x:c>
      <x:c r="AL28" s="31" t="n">
        <x:f>'03_월별손익'!AL32*(1+'01_가정'!$F$85)</x:f>
        <x:v>17117120.486945987</x:v>
      </x:c>
      <x:c r="AM28" s="31" t="n">
        <x:f>'03_월별손익'!AM32*(1+'01_가정'!$F$85)</x:f>
        <x:v>18804776.07799031</x:v>
      </x:c>
      <x:c r="AN28" s="31" t="n">
        <x:f>'03_월별손익'!AN32*(1+'01_가정'!$F$85)</x:f>
        <x:v>20357419.221751083</x:v>
      </x:c>
      <x:c r="AO28" s="31" t="n">
        <x:f>'03_월별손익'!AO32*(1+'01_가정'!$F$85)</x:f>
        <x:v>21785850.914010998</x:v>
      </x:c>
      <x:c r="AP28" s="31" t="n">
        <x:f>'03_월별손익'!AP32*(1+'01_가정'!$F$85)</x:f>
        <x:v>23100008.070890117</x:v>
      </x:c>
      <x:c r="AQ28" s="31" t="n">
        <x:f>'03_월별손익'!AQ32*(1+'01_가정'!$F$85)</x:f>
        <x:v>24309032.65521891</x:v>
      </x:c>
      <x:c r="AR28" s="31" t="n">
        <x:f>'03_월별손익'!AR32*(1+'01_가정'!$F$85)</x:f>
        <x:v>25421335.2728014</x:v>
      </x:c>
      <x:c r="AS28" s="31" t="n">
        <x:f>'03_월별손익'!AS32*(1+'01_가정'!$F$85)</x:f>
        <x:v>26444653.680977285</x:v>
      </x:c>
    </x:row>
    <x:row r="29" ht="23" customHeight="1">
      <x:c r="A29" s="2"/>
      <x:c r="B29" s="2"/>
      <x:c r="C29" s="19" t="str">
        <x:v>현금 수입 합계</x:v>
      </x:c>
      <x:c r="D29" s="19" t="str">
        <x:v>원</x:v>
      </x:c>
      <x:c r="E29" s="19"/>
      <x:c r="F29" s="21" t="n">
        <x:f>SUM(J29:U29)</x:f>
        <x:v>59658744.109834</x:v>
      </x:c>
      <x:c r="G29" s="21" t="n">
        <x:f>SUM(V29:AG29)</x:f>
        <x:v>586436413.2877669</x:v>
      </x:c>
      <x:c r="H29" s="21" t="n">
        <x:f>SUM(AH29:AS29)</x:f>
        <x:v>1461128098.2450173</x:v>
      </x:c>
      <x:c r="I29" s="19"/>
      <x:c r="J29" s="21" t="n">
        <x:f>SUM(J26:J28)</x:f>
        <x:v>0</x:v>
      </x:c>
      <x:c r="K29" s="21" t="n">
        <x:f>SUM(K26:K28)</x:f>
        <x:v>0</x:v>
      </x:c>
      <x:c r="L29" s="21" t="n">
        <x:f>SUM(L26:L28)</x:f>
        <x:v>0</x:v>
      </x:c>
      <x:c r="M29" s="21" t="n">
        <x:f>SUM(M26:M28)</x:f>
        <x:v>0</x:v>
      </x:c>
      <x:c r="N29" s="21" t="n">
        <x:f>SUM(N26:N28)</x:f>
        <x:v>0</x:v>
      </x:c>
      <x:c r="O29" s="21" t="n">
        <x:f>SUM(O26:O28)</x:f>
        <x:v>0</x:v>
      </x:c>
      <x:c r="P29" s="21" t="n">
        <x:f>SUM(P26:P28)</x:f>
        <x:v>5346120</x:v>
      </x:c>
      <x:c r="Q29" s="21" t="n">
        <x:f>SUM(Q26:Q28)</x:f>
        <x:v>8201118.74</x:v>
      </x:c>
      <x:c r="R29" s="21" t="n">
        <x:f>SUM(R26:R28)</x:f>
        <x:v>11240010.806</x:v>
      </x:c>
      <x:c r="S29" s="21" t="n">
        <x:f>SUM(S26:S28)</x:f>
        <x:v>11445262.5254</x:v>
      </x:c>
      <x:c r="T29" s="21" t="n">
        <x:f>SUM(T26:T28)</x:f>
        <x:v>11629989.07286</x:v>
      </x:c>
      <x:c r="U29" s="21" t="n">
        <x:f>SUM(U26:U28)</x:f>
        <x:v>11796242.965574</x:v>
      </x:c>
      <x:c r="V29" s="21" t="n">
        <x:f>SUM(V26:V28)</x:f>
        <x:v>44637319.89867234</x:v>
      </x:c>
      <x:c r="W29" s="21" t="n">
        <x:f>SUM(W26:W28)</x:f>
        <x:v>45659462.77779183</x:v>
      </x:c>
      <x:c r="X29" s="21" t="n">
        <x:f>SUM(X26:X28)</x:f>
        <x:v>46589612.797790565</x:v>
      </x:c>
      <x:c r="Y29" s="21" t="n">
        <x:f>SUM(Y26:Y28)</x:f>
        <x:v>47436049.31598941</x:v>
      </x:c>
      <x:c r="Z29" s="21" t="n">
        <x:f>SUM(Z26:Z28)</x:f>
        <x:v>48206306.547550365</x:v>
      </x:c>
      <x:c r="AA29" s="21" t="n">
        <x:f>SUM(AA26:AA28)</x:f>
        <x:v>48907240.628270835</x:v>
      </x:c>
      <x:c r="AB29" s="21" t="n">
        <x:f>SUM(AB26:AB28)</x:f>
        <x:v>49545090.64172646</x:v>
      </x:c>
      <x:c r="AC29" s="21" t="n">
        <x:f>SUM(AC26:AC28)</x:f>
        <x:v>50125534.153971076</x:v>
      </x:c>
      <x:c r="AD29" s="21" t="n">
        <x:f>SUM(AD26:AD28)</x:f>
        <x:v>50653737.75011368</x:v>
      </x:c>
      <x:c r="AE29" s="21" t="n">
        <x:f>SUM(AE26:AE28)</x:f>
        <x:v>51134403.02260345</x:v>
      </x:c>
      <x:c r="AF29" s="21" t="n">
        <x:f>SUM(AF26:AF28)</x:f>
        <x:v>51571808.42056914</x:v>
      </x:c>
      <x:c r="AG29" s="21" t="n">
        <x:f>SUM(AG26:AG28)</x:f>
        <x:v>51969847.33271792</x:v>
      </x:c>
      <x:c r="AH29" s="21" t="n">
        <x:f>SUM(AH26:AH28)</x:f>
        <x:v>111709815.71610048</x:v>
      </x:c>
      <x:c r="AI29" s="21" t="n">
        <x:f>SUM(AI26:AI28)</x:f>
        <x:v>114065583.68881245</x:v>
      </x:c>
      <x:c r="AJ29" s="21" t="n">
        <x:f>SUM(AJ26:AJ28)</x:f>
        <x:v>116232890.22370745</x:v>
      </x:c>
      <x:c r="AK29" s="21" t="n">
        <x:f>SUM(AK26:AK28)</x:f>
        <x:v>118226812.23581085</x:v>
      </x:c>
      <x:c r="AL29" s="21" t="n">
        <x:f>SUM(AL26:AL28)</x:f>
        <x:v>120061220.48694599</x:v>
      </x:c>
      <x:c r="AM29" s="21" t="n">
        <x:f>SUM(AM26:AM28)</x:f>
        <x:v>121748876.07799031</x:v>
      </x:c>
      <x:c r="AN29" s="21" t="n">
        <x:f>SUM(AN26:AN28)</x:f>
        <x:v>123301519.22175108</x:v>
      </x:c>
      <x:c r="AO29" s="21" t="n">
        <x:f>SUM(AO26:AO28)</x:f>
        <x:v>124729950.914011</x:v>
      </x:c>
      <x:c r="AP29" s="21" t="n">
        <x:f>SUM(AP26:AP28)</x:f>
        <x:v>126044108.07089011</x:v>
      </x:c>
      <x:c r="AQ29" s="21" t="n">
        <x:f>SUM(AQ26:AQ28)</x:f>
        <x:v>127253132.65521891</x:v>
      </x:c>
      <x:c r="AR29" s="21" t="n">
        <x:f>SUM(AR26:AR28)</x:f>
        <x:v>128365435.2728014</x:v>
      </x:c>
      <x:c r="AS29" s="21" t="n">
        <x:f>SUM(AS26:AS28)</x:f>
        <x:v>129388753.68097728</x:v>
      </x:c>
    </x:row>
    <x:row r="30" ht="23" customHeight="1">
      <x:c r="A30" s="2"/>
      <x:c r="B30" s="2"/>
      <x:c r="C30" s="2" t="str">
        <x:v>비인건비 운영 현금 지급</x:v>
      </x:c>
      <x:c r="D30" s="2" t="str">
        <x:v>원</x:v>
      </x:c>
      <x:c r="E30" s="2"/>
      <x:c r="F30" s="33" t="n">
        <x:f>SUM(J30:U30)</x:f>
        <x:v>105446940.54073851</x:v>
      </x:c>
      <x:c r="G30" s="33" t="n">
        <x:f>SUM(V30:AG30)</x:f>
        <x:v>225331308.38557407</x:v>
      </x:c>
      <x:c r="H30" s="33" t="n">
        <x:f>SUM(AH30:AS30)</x:f>
        <x:v>475715271.79401225</x:v>
      </x:c>
      <x:c r="I30" s="2"/>
      <x:c r="J30" s="31" t="n">
        <x:f>SUM('03_월별손익'!J35,'03_월별손익'!J37:J45,'03_월별손익'!J47,'03_월별손익'!J50:J51)*(1+'01_가정'!$F$85)</x:f>
        <x:v>4400000</x:v>
      </x:c>
      <x:c r="K30" s="31" t="n">
        <x:f>SUM('03_월별손익'!K35,'03_월별손익'!K37:K45,'03_월별손익'!K47,'03_월별손익'!K50:K51)*(1+'01_가정'!$F$85)</x:f>
        <x:v>5500000</x:v>
      </x:c>
      <x:c r="L30" s="31" t="n">
        <x:f>SUM('03_월별손익'!L35,'03_월별손익'!L37:L45,'03_월별손익'!L47,'03_월별손익'!L50:L51)*(1+'01_가정'!$F$85)</x:f>
        <x:v>5500000</x:v>
      </x:c>
      <x:c r="M30" s="31" t="n">
        <x:f>SUM('03_월별손익'!M35,'03_월별손익'!M37:M45,'03_월별손익'!M47,'03_월별손익'!M50:M51)*(1+'01_가정'!$F$85)</x:f>
        <x:v>20900000</x:v>
      </x:c>
      <x:c r="N30" s="31" t="n">
        <x:f>SUM('03_월별손익'!N35,'03_월별손익'!N37:N45,'03_월별손익'!N47,'03_월별손익'!N50:N51)*(1+'01_가정'!$F$85)</x:f>
        <x:v>18700000</x:v>
      </x:c>
      <x:c r="O30" s="31" t="n">
        <x:f>SUM('03_월별손익'!O35,'03_월별손익'!O37:O45,'03_월별손익'!O47,'03_월별손익'!O50:O51)*(1+'01_가정'!$F$85)</x:f>
        <x:v>18700000</x:v>
      </x:c>
      <x:c r="P30" s="31" t="n">
        <x:f>SUM('03_월별손익'!P35,'03_월별손익'!P37:P45,'03_월별손익'!P47,'03_월별손익'!P50:P51)*(1+'01_가정'!$F$85)</x:f>
        <x:v>3818763.9600000004</x:v>
      </x:c>
      <x:c r="Q30" s="31" t="n">
        <x:f>SUM('03_월별손익'!Q35,'03_월별손익'!Q37:Q45,'03_월별손익'!Q47,'03_월별손익'!Q50:Q51)*(1+'01_가정'!$F$85)</x:f>
        <x:v>4703858.45842</x:v>
      </x:c>
      <x:c r="R30" s="31" t="n">
        <x:f>SUM('03_월별손익'!R35,'03_월별손익'!R37:R45,'03_월별손익'!R47,'03_월별손익'!R50:R51)*(1+'01_가정'!$F$85)</x:f>
        <x:v>5630764.682598</x:v>
      </x:c>
      <x:c r="S30" s="31" t="n">
        <x:f>SUM('03_월별손익'!S35,'03_월별손익'!S37:S45,'03_월별손익'!S47,'03_월별손익'!S50:S51)*(1+'01_가정'!$F$85)</x:f>
        <x:v>5755766.3567382</x:v>
      </x:c>
      <x:c r="T30" s="31" t="n">
        <x:f>SUM('03_월별손익'!T35,'03_월별손익'!T37:T45,'03_월별손익'!T47,'03_월별손익'!T50:T51)*(1+'01_가정'!$F$85)</x:f>
        <x:v>5868267.863464381</x:v>
      </x:c>
      <x:c r="U30" s="31" t="n">
        <x:f>SUM('03_월별손익'!U35,'03_월별손익'!U37:U45,'03_월별손익'!U47,'03_월별손익'!U50:U51)*(1+'01_가정'!$F$85)</x:f>
        <x:v>5969519.219517943</x:v>
      </x:c>
      <x:c r="V30" s="31" t="n">
        <x:f>SUM('03_월별손익'!V35,'03_월별손익'!V37:V45,'03_월별손익'!V47,'03_월별손익'!V50:V51)*(1+'01_가정'!$F$85)</x:f>
        <x:v>16310499.053537227</x:v>
      </x:c>
      <x:c r="W30" s="31" t="n">
        <x:f>SUM('03_월별손익'!W35,'03_월별손익'!W37:W45,'03_월별손익'!W47,'03_월별손익'!W50:W51)*(1+'01_가정'!$F$85)</x:f>
        <x:v>16906319.413828876</x:v>
      </x:c>
      <x:c r="X30" s="31" t="n">
        <x:f>SUM('03_월별손익'!X35,'03_월별손익'!X37:X45,'03_월별손익'!X47,'03_월별손익'!X50:X51)*(1+'01_가정'!$F$85)</x:f>
        <x:v>17448515.94169428</x:v>
      </x:c>
      <x:c r="Y30" s="31" t="n">
        <x:f>SUM('03_월별손익'!Y35,'03_월별손익'!Y37:Y45,'03_월별손익'!Y47,'03_월별손익'!Y50:Y51)*(1+'01_가정'!$F$85)</x:f>
        <x:v>17941914.782051794</x:v>
      </x:c>
      <x:c r="Z30" s="31" t="n">
        <x:f>SUM('03_월별손익'!Z35,'03_월별손익'!Z37:Z45,'03_월별손익'!Z47,'03_월별손익'!Z50:Z51)*(1+'01_가정'!$F$85)</x:f>
        <x:v>18390907.726777133</x:v>
      </x:c>
      <x:c r="AA30" s="31" t="n">
        <x:f>SUM('03_월별손익'!AA35,'03_월별손익'!AA37:AA45,'03_월별손익'!AA47,'03_월별손익'!AA50:AA51)*(1+'01_가정'!$F$85)</x:f>
        <x:v>18799491.306477193</x:v>
      </x:c>
      <x:c r="AB30" s="31" t="n">
        <x:f>SUM('03_월별손익'!AB35,'03_월별손익'!AB37:AB45,'03_월별손익'!AB47,'03_월별손익'!AB50:AB51)*(1+'01_가정'!$F$85)</x:f>
        <x:v>19171302.364004243</x:v>
      </x:c>
      <x:c r="AC30" s="31" t="n">
        <x:f>SUM('03_월별손익'!AC35,'03_월별손익'!AC37:AC45,'03_월별손익'!AC47,'03_월별손익'!AC50:AC51)*(1+'01_가정'!$F$85)</x:f>
        <x:v>19509650.426353864</x:v>
      </x:c>
      <x:c r="AD30" s="31" t="n">
        <x:f>SUM('03_월별손익'!AD35,'03_월별손익'!AD37:AD45,'03_월별손익'!AD47,'03_월별손익'!AD50:AD51)*(1+'01_가정'!$F$85)</x:f>
        <x:v>19817547.163092017</x:v>
      </x:c>
      <x:c r="AE30" s="31" t="n">
        <x:f>SUM('03_월별손익'!AE35,'03_월별손익'!AE37:AE45,'03_월별손익'!AE47,'03_월별손익'!AE50:AE51)*(1+'01_가정'!$F$85)</x:f>
        <x:v>20097733.19352373</x:v>
      </x:c>
      <x:c r="AF30" s="31" t="n">
        <x:f>SUM('03_월별손익'!AF35,'03_월별손익'!AF37:AF45,'03_월별손익'!AF47,'03_월별손익'!AF50:AF51)*(1+'01_가정'!$F$85)</x:f>
        <x:v>20352702.4812166</x:v>
      </x:c>
      <x:c r="AG30" s="31" t="n">
        <x:f>SUM('03_월별손익'!AG35,'03_월별손익'!AG37:AG45,'03_월별손익'!AG47,'03_월별손익'!AG50:AG51)*(1+'01_가정'!$F$85)</x:f>
        <x:v>20584724.533017103</x:v>
      </x:c>
      <x:c r="AH30" s="31" t="n">
        <x:f>SUM('03_월별손익'!AH35,'03_월별손익'!AH37:AH45,'03_월별손익'!AH47,'03_월별손익'!AH50:AH51)*(1+'01_가정'!$F$85)</x:f>
        <x:v>33959071.14381629</x:v>
      </x:c>
      <x:c r="AI30" s="31" t="n">
        <x:f>SUM('03_월별손익'!AI35,'03_월별손익'!AI37:AI45,'03_월별손익'!AI47,'03_월별손익'!AI50:AI51)*(1+'01_가정'!$F$85)</x:f>
        <x:v>35291283.08890099</x:v>
      </x:c>
      <x:c r="AJ30" s="31" t="n">
        <x:f>SUM('03_월별손익'!AJ35,'03_월별손익'!AJ37:AJ45,'03_월별손익'!AJ47,'03_월별손익'!AJ50:AJ51)*(1+'01_가정'!$F$85)</x:f>
        <x:v>36516918.078378916</x:v>
      </x:c>
      <x:c r="AK30" s="31" t="n">
        <x:f>SUM('03_월별손익'!AK35,'03_월별손익'!AK37:AK45,'03_월별손익'!AK47,'03_월별손익'!AK50:AK51)*(1+'01_가정'!$F$85)</x:f>
        <x:v>37644502.2686986</x:v>
      </x:c>
      <x:c r="AL30" s="31" t="n">
        <x:f>SUM('03_월별손익'!AL35,'03_월별손익'!AL37:AL45,'03_월별손익'!AL47,'03_월별손익'!AL50:AL51)*(1+'01_가정'!$F$85)</x:f>
        <x:v>38681879.72379271</x:v>
      </x:c>
      <x:c r="AM30" s="31" t="n">
        <x:f>SUM('03_월별손익'!AM35,'03_월별손익'!AM37:AM45,'03_월별손익'!AM47,'03_월별손익'!AM50:AM51)*(1+'01_가정'!$F$85)</x:f>
        <x:v>39636266.9824793</x:v>
      </x:c>
      <x:c r="AN30" s="31" t="n">
        <x:f>SUM('03_월별손익'!AN35,'03_월별손익'!AN37:AN45,'03_월별손익'!AN47,'03_월별손익'!AN50:AN51)*(1+'01_가정'!$F$85)</x:f>
        <x:v>40514303.26047096</x:v>
      </x:c>
      <x:c r="AO30" s="31" t="n">
        <x:f>SUM('03_월별손익'!AO35,'03_월별손익'!AO37:AO45,'03_월별손익'!AO47,'03_월별손익'!AO50:AO51)*(1+'01_가정'!$F$85)</x:f>
        <x:v>41322096.63622328</x:v>
      </x:c>
      <x:c r="AP30" s="31" t="n">
        <x:f>SUM('03_월별손익'!AP35,'03_월별손익'!AP37:AP45,'03_월별손익'!AP47,'03_월별손익'!AP50:AP51)*(1+'01_가정'!$F$85)</x:f>
        <x:v>42065266.54191541</x:v>
      </x:c>
      <x:c r="AQ30" s="31" t="n">
        <x:f>SUM('03_월별손익'!AQ35,'03_월별손익'!AQ37:AQ45,'03_월별손익'!AQ47,'03_월별손익'!AQ50:AQ51)*(1+'01_가정'!$F$85)</x:f>
        <x:v>42748982.85515218</x:v>
      </x:c>
      <x:c r="AR30" s="31" t="n">
        <x:f>SUM('03_월별손익'!AR35,'03_월별손익'!AR37:AR45,'03_월별손익'!AR47,'03_월별손익'!AR50:AR51)*(1+'01_가정'!$F$85)</x:f>
        <x:v>43378001.86333001</x:v>
      </x:c>
      <x:c r="AS30" s="31" t="n">
        <x:f>SUM('03_월별손익'!AS35,'03_월별손익'!AS37:AS45,'03_월별손익'!AS47,'03_월별손익'!AS50:AS51)*(1+'01_가정'!$F$85)</x:f>
        <x:v>43956699.350853615</x:v>
      </x:c>
    </x:row>
    <x:row r="31" ht="23" customHeight="1">
      <x:c r="A31" s="2"/>
      <x:c r="B31" s="2"/>
      <x:c r="C31" s="2" t="str">
        <x:v>인건비 현금 지급</x:v>
      </x:c>
      <x:c r="D31" s="2" t="str">
        <x:v>원</x:v>
      </x:c>
      <x:c r="E31" s="2"/>
      <x:c r="F31" s="33" t="n">
        <x:f>SUM(J31:U31)</x:f>
        <x:v>162000000</x:v>
      </x:c>
      <x:c r="G31" s="33" t="n">
        <x:f>SUM(V31:AG31)</x:f>
        <x:v>169200000</x:v>
      </x:c>
      <x:c r="H31" s="33" t="n">
        <x:f>SUM(AH31:AS31)</x:f>
        <x:v>240000000</x:v>
      </x:c>
      <x:c r="I31" s="2"/>
      <x:c r="J31" s="31" t="n">
        <x:f>'03_월별손익'!J49*(1-'01_가정'!$F$107)</x:f>
        <x:v>13500000</x:v>
      </x:c>
      <x:c r="K31" s="31" t="n">
        <x:f>'03_월별손익'!K49*(1-'01_가정'!$F$107)</x:f>
        <x:v>13500000</x:v>
      </x:c>
      <x:c r="L31" s="31" t="n">
        <x:f>'03_월별손익'!L49*(1-'01_가정'!$F$107)</x:f>
        <x:v>13500000</x:v>
      </x:c>
      <x:c r="M31" s="31" t="n">
        <x:f>'03_월별손익'!M49*(1-'01_가정'!$F$107)</x:f>
        <x:v>13500000</x:v>
      </x:c>
      <x:c r="N31" s="31" t="n">
        <x:f>'03_월별손익'!N49*(1-'01_가정'!$F$107)</x:f>
        <x:v>13500000</x:v>
      </x:c>
      <x:c r="O31" s="31" t="n">
        <x:f>'03_월별손익'!O49*(1-'01_가정'!$F$107)</x:f>
        <x:v>13500000</x:v>
      </x:c>
      <x:c r="P31" s="31" t="n">
        <x:f>'03_월별손익'!P49*(1-'01_가정'!$F$107)</x:f>
        <x:v>13500000</x:v>
      </x:c>
      <x:c r="Q31" s="31" t="n">
        <x:f>'03_월별손익'!Q49*(1-'01_가정'!$F$107)</x:f>
        <x:v>13500000</x:v>
      </x:c>
      <x:c r="R31" s="31" t="n">
        <x:f>'03_월별손익'!R49*(1-'01_가정'!$F$107)</x:f>
        <x:v>13500000</x:v>
      </x:c>
      <x:c r="S31" s="31" t="n">
        <x:f>'03_월별손익'!S49*(1-'01_가정'!$F$107)</x:f>
        <x:v>13500000</x:v>
      </x:c>
      <x:c r="T31" s="31" t="n">
        <x:f>'03_월별손익'!T49*(1-'01_가정'!$F$107)</x:f>
        <x:v>13500000</x:v>
      </x:c>
      <x:c r="U31" s="31" t="n">
        <x:f>'03_월별손익'!U49*(1-'01_가정'!$F$107)</x:f>
        <x:v>13500000</x:v>
      </x:c>
      <x:c r="V31" s="31" t="n">
        <x:f>'03_월별손익'!V49*(1-'01_가정'!$F$107)</x:f>
        <x:v>14100000</x:v>
      </x:c>
      <x:c r="W31" s="31" t="n">
        <x:f>'03_월별손익'!W49*(1-'01_가정'!$F$107)</x:f>
        <x:v>14100000</x:v>
      </x:c>
      <x:c r="X31" s="31" t="n">
        <x:f>'03_월별손익'!X49*(1-'01_가정'!$F$107)</x:f>
        <x:v>14100000</x:v>
      </x:c>
      <x:c r="Y31" s="31" t="n">
        <x:f>'03_월별손익'!Y49*(1-'01_가정'!$F$107)</x:f>
        <x:v>14100000</x:v>
      </x:c>
      <x:c r="Z31" s="31" t="n">
        <x:f>'03_월별손익'!Z49*(1-'01_가정'!$F$107)</x:f>
        <x:v>14100000</x:v>
      </x:c>
      <x:c r="AA31" s="31" t="n">
        <x:f>'03_월별손익'!AA49*(1-'01_가정'!$F$107)</x:f>
        <x:v>14100000</x:v>
      </x:c>
      <x:c r="AB31" s="31" t="n">
        <x:f>'03_월별손익'!AB49*(1-'01_가정'!$F$107)</x:f>
        <x:v>14100000</x:v>
      </x:c>
      <x:c r="AC31" s="31" t="n">
        <x:f>'03_월별손익'!AC49*(1-'01_가정'!$F$107)</x:f>
        <x:v>14100000</x:v>
      </x:c>
      <x:c r="AD31" s="31" t="n">
        <x:f>'03_월별손익'!AD49*(1-'01_가정'!$F$107)</x:f>
        <x:v>14100000</x:v>
      </x:c>
      <x:c r="AE31" s="31" t="n">
        <x:f>'03_월별손익'!AE49*(1-'01_가정'!$F$107)</x:f>
        <x:v>14100000</x:v>
      </x:c>
      <x:c r="AF31" s="31" t="n">
        <x:f>'03_월별손익'!AF49*(1-'01_가정'!$F$107)</x:f>
        <x:v>14100000</x:v>
      </x:c>
      <x:c r="AG31" s="31" t="n">
        <x:f>'03_월별손익'!AG49*(1-'01_가정'!$F$107)</x:f>
        <x:v>14100000</x:v>
      </x:c>
      <x:c r="AH31" s="31" t="n">
        <x:f>'03_월별손익'!AH49*(1-'01_가정'!$F$107)</x:f>
        <x:v>20000000</x:v>
      </x:c>
      <x:c r="AI31" s="31" t="n">
        <x:f>'03_월별손익'!AI49*(1-'01_가정'!$F$107)</x:f>
        <x:v>20000000</x:v>
      </x:c>
      <x:c r="AJ31" s="31" t="n">
        <x:f>'03_월별손익'!AJ49*(1-'01_가정'!$F$107)</x:f>
        <x:v>20000000</x:v>
      </x:c>
      <x:c r="AK31" s="31" t="n">
        <x:f>'03_월별손익'!AK49*(1-'01_가정'!$F$107)</x:f>
        <x:v>20000000</x:v>
      </x:c>
      <x:c r="AL31" s="31" t="n">
        <x:f>'03_월별손익'!AL49*(1-'01_가정'!$F$107)</x:f>
        <x:v>20000000</x:v>
      </x:c>
      <x:c r="AM31" s="31" t="n">
        <x:f>'03_월별손익'!AM49*(1-'01_가정'!$F$107)</x:f>
        <x:v>20000000</x:v>
      </x:c>
      <x:c r="AN31" s="31" t="n">
        <x:f>'03_월별손익'!AN49*(1-'01_가정'!$F$107)</x:f>
        <x:v>20000000</x:v>
      </x:c>
      <x:c r="AO31" s="31" t="n">
        <x:f>'03_월별손익'!AO49*(1-'01_가정'!$F$107)</x:f>
        <x:v>20000000</x:v>
      </x:c>
      <x:c r="AP31" s="31" t="n">
        <x:f>'03_월별손익'!AP49*(1-'01_가정'!$F$107)</x:f>
        <x:v>20000000</x:v>
      </x:c>
      <x:c r="AQ31" s="31" t="n">
        <x:f>'03_월별손익'!AQ49*(1-'01_가정'!$F$107)</x:f>
        <x:v>20000000</x:v>
      </x:c>
      <x:c r="AR31" s="31" t="n">
        <x:f>'03_월별손익'!AR49*(1-'01_가정'!$F$107)</x:f>
        <x:v>20000000</x:v>
      </x:c>
      <x:c r="AS31" s="31" t="n">
        <x:f>'03_월별손익'!AS49*(1-'01_가정'!$F$107)</x:f>
        <x:v>20000000</x:v>
      </x:c>
    </x:row>
    <x:row r="32" ht="23" customHeight="1">
      <x:c r="A32" s="2"/>
      <x:c r="B32" s="2"/>
      <x:c r="C32" s="2" t="str">
        <x:v>금형 설비 현금 지급</x:v>
      </x:c>
      <x:c r="D32" s="2" t="str">
        <x:v>원</x:v>
      </x:c>
      <x:c r="E32" s="2"/>
      <x:c r="F32" s="33" t="n">
        <x:f>SUM(J32:U32)</x:f>
        <x:v>27500000.000000004</x:v>
      </x:c>
      <x:c r="G32" s="33" t="n">
        <x:f>SUM(V32:AG32)</x:f>
        <x:v>0</x:v>
      </x:c>
      <x:c r="H32" s="33" t="n">
        <x:f>SUM(AH32:AS32)</x:f>
        <x:v>0</x:v>
      </x:c>
      <x:c r="I32" s="2"/>
      <x:c r="J32" s="31" t="n">
        <x:f>IF(J$6=MAX(1,'01_가정'!F46-2),'01_가정'!$F$103*(1+'01_가정'!$F$85),0)</x:f>
        <x:v>0</x:v>
      </x:c>
      <x:c r="K32" s="31" t="n">
        <x:f>IF(K$6=MAX(1,'01_가정'!F46-2),'01_가정'!$F$103*(1+'01_가정'!$F$85),0)</x:f>
        <x:v>0</x:v>
      </x:c>
      <x:c r="L32" s="31" t="n">
        <x:f>IF(L$6=MAX(1,'01_가정'!F46-2),'01_가정'!$F$103*(1+'01_가정'!$F$85),0)</x:f>
        <x:v>0</x:v>
      </x:c>
      <x:c r="M32" s="31" t="n">
        <x:f>IF(M$6=MAX(1,'01_가정'!F46-2),'01_가정'!$F$103*(1+'01_가정'!$F$85),0)</x:f>
        <x:v>0</x:v>
      </x:c>
      <x:c r="N32" s="31" t="n">
        <x:f>IF(N$6=MAX(1,'01_가정'!F46-2),'01_가정'!$F$103*(1+'01_가정'!$F$85),0)</x:f>
        <x:v>27500000.000000004</x:v>
      </x:c>
      <x:c r="O32" s="31" t="n">
        <x:f>IF(O$6=MAX(1,'01_가정'!F46-2),'01_가정'!$F$103*(1+'01_가정'!$F$85),0)</x:f>
        <x:v>0</x:v>
      </x:c>
      <x:c r="P32" s="31" t="n">
        <x:f>IF(P$6=MAX(1,'01_가정'!F46-2),'01_가정'!$F$103*(1+'01_가정'!$F$85),0)</x:f>
        <x:v>0</x:v>
      </x:c>
      <x:c r="Q32" s="31" t="n">
        <x:f>IF(Q$6=MAX(1,'01_가정'!F46-2),'01_가정'!$F$103*(1+'01_가정'!$F$85),0)</x:f>
        <x:v>0</x:v>
      </x:c>
      <x:c r="R32" s="31" t="n">
        <x:f>IF(R$6=MAX(1,'01_가정'!F46-2),'01_가정'!$F$103*(1+'01_가정'!$F$85),0)</x:f>
        <x:v>0</x:v>
      </x:c>
      <x:c r="S32" s="31" t="n">
        <x:f>IF(S$6=MAX(1,'01_가정'!F46-2),'01_가정'!$F$103*(1+'01_가정'!$F$85),0)</x:f>
        <x:v>0</x:v>
      </x:c>
      <x:c r="T32" s="31" t="n">
        <x:f>IF(T$6=MAX(1,'01_가정'!F46-2),'01_가정'!$F$103*(1+'01_가정'!$F$85),0)</x:f>
        <x:v>0</x:v>
      </x:c>
      <x:c r="U32" s="31" t="n">
        <x:f>IF(U$6=MAX(1,'01_가정'!F46-2),'01_가정'!$F$103*(1+'01_가정'!$F$85),0)</x:f>
        <x:v>0</x:v>
      </x:c>
      <x:c r="V32" s="31" t="n">
        <x:f>IF(V$6=MAX(1,'01_가정'!F46-2),'01_가정'!$F$103*(1+'01_가정'!$F$85),0)</x:f>
        <x:v>0</x:v>
      </x:c>
      <x:c r="W32" s="31" t="n">
        <x:f>IF(W$6=MAX(1,'01_가정'!F46-2),'01_가정'!$F$103*(1+'01_가정'!$F$85),0)</x:f>
        <x:v>0</x:v>
      </x:c>
      <x:c r="X32" s="31" t="n">
        <x:f>IF(X$6=MAX(1,'01_가정'!F46-2),'01_가정'!$F$103*(1+'01_가정'!$F$85),0)</x:f>
        <x:v>0</x:v>
      </x:c>
      <x:c r="Y32" s="31" t="n">
        <x:f>IF(Y$6=MAX(1,'01_가정'!F46-2),'01_가정'!$F$103*(1+'01_가정'!$F$85),0)</x:f>
        <x:v>0</x:v>
      </x:c>
      <x:c r="Z32" s="31" t="n">
        <x:f>IF(Z$6=MAX(1,'01_가정'!F46-2),'01_가정'!$F$103*(1+'01_가정'!$F$85),0)</x:f>
        <x:v>0</x:v>
      </x:c>
      <x:c r="AA32" s="31" t="n">
        <x:f>IF(AA$6=MAX(1,'01_가정'!F46-2),'01_가정'!$F$103*(1+'01_가정'!$F$85),0)</x:f>
        <x:v>0</x:v>
      </x:c>
      <x:c r="AB32" s="31" t="n">
        <x:f>IF(AB$6=MAX(1,'01_가정'!F46-2),'01_가정'!$F$103*(1+'01_가정'!$F$85),0)</x:f>
        <x:v>0</x:v>
      </x:c>
      <x:c r="AC32" s="31" t="n">
        <x:f>IF(AC$6=MAX(1,'01_가정'!F46-2),'01_가정'!$F$103*(1+'01_가정'!$F$85),0)</x:f>
        <x:v>0</x:v>
      </x:c>
      <x:c r="AD32" s="31" t="n">
        <x:f>IF(AD$6=MAX(1,'01_가정'!F46-2),'01_가정'!$F$103*(1+'01_가정'!$F$85),0)</x:f>
        <x:v>0</x:v>
      </x:c>
      <x:c r="AE32" s="31" t="n">
        <x:f>IF(AE$6=MAX(1,'01_가정'!F46-2),'01_가정'!$F$103*(1+'01_가정'!$F$85),0)</x:f>
        <x:v>0</x:v>
      </x:c>
      <x:c r="AF32" s="31" t="n">
        <x:f>IF(AF$6=MAX(1,'01_가정'!F46-2),'01_가정'!$F$103*(1+'01_가정'!$F$85),0)</x:f>
        <x:v>0</x:v>
      </x:c>
      <x:c r="AG32" s="31" t="n">
        <x:f>IF(AG$6=MAX(1,'01_가정'!F46-2),'01_가정'!$F$103*(1+'01_가정'!$F$85),0)</x:f>
        <x:v>0</x:v>
      </x:c>
      <x:c r="AH32" s="31" t="n">
        <x:f>IF(AH$6=MAX(1,'01_가정'!F46-2),'01_가정'!$F$103*(1+'01_가정'!$F$85),0)</x:f>
        <x:v>0</x:v>
      </x:c>
      <x:c r="AI32" s="31" t="n">
        <x:f>IF(AI$6=MAX(1,'01_가정'!F46-2),'01_가정'!$F$103*(1+'01_가정'!$F$85),0)</x:f>
        <x:v>0</x:v>
      </x:c>
      <x:c r="AJ32" s="31" t="n">
        <x:f>IF(AJ$6=MAX(1,'01_가정'!F46-2),'01_가정'!$F$103*(1+'01_가정'!$F$85),0)</x:f>
        <x:v>0</x:v>
      </x:c>
      <x:c r="AK32" s="31" t="n">
        <x:f>IF(AK$6=MAX(1,'01_가정'!F46-2),'01_가정'!$F$103*(1+'01_가정'!$F$85),0)</x:f>
        <x:v>0</x:v>
      </x:c>
      <x:c r="AL32" s="31" t="n">
        <x:f>IF(AL$6=MAX(1,'01_가정'!F46-2),'01_가정'!$F$103*(1+'01_가정'!$F$85),0)</x:f>
        <x:v>0</x:v>
      </x:c>
      <x:c r="AM32" s="31" t="n">
        <x:f>IF(AM$6=MAX(1,'01_가정'!F46-2),'01_가정'!$F$103*(1+'01_가정'!$F$85),0)</x:f>
        <x:v>0</x:v>
      </x:c>
      <x:c r="AN32" s="31" t="n">
        <x:f>IF(AN$6=MAX(1,'01_가정'!F46-2),'01_가정'!$F$103*(1+'01_가정'!$F$85),0)</x:f>
        <x:v>0</x:v>
      </x:c>
      <x:c r="AO32" s="31" t="n">
        <x:f>IF(AO$6=MAX(1,'01_가정'!F46-2),'01_가정'!$F$103*(1+'01_가정'!$F$85),0)</x:f>
        <x:v>0</x:v>
      </x:c>
      <x:c r="AP32" s="31" t="n">
        <x:f>IF(AP$6=MAX(1,'01_가정'!F46-2),'01_가정'!$F$103*(1+'01_가정'!$F$85),0)</x:f>
        <x:v>0</x:v>
      </x:c>
      <x:c r="AQ32" s="31" t="n">
        <x:f>IF(AQ$6=MAX(1,'01_가정'!F46-2),'01_가정'!$F$103*(1+'01_가정'!$F$85),0)</x:f>
        <x:v>0</x:v>
      </x:c>
      <x:c r="AR32" s="31" t="n">
        <x:f>IF(AR$6=MAX(1,'01_가정'!F46-2),'01_가정'!$F$103*(1+'01_가정'!$F$85),0)</x:f>
        <x:v>0</x:v>
      </x:c>
      <x:c r="AS32" s="31" t="n">
        <x:f>IF(AS$6=MAX(1,'01_가정'!F46-2),'01_가정'!$F$103*(1+'01_가정'!$F$85),0)</x:f>
        <x:v>0</x:v>
      </x:c>
    </x:row>
    <x:row r="33" ht="23" customHeight="1">
      <x:c r="A33" s="2"/>
      <x:c r="B33" s="2"/>
      <x:c r="C33" s="2" t="str">
        <x:v>감가상각비</x:v>
      </x:c>
      <x:c r="D33" s="2" t="str">
        <x:v>원</x:v>
      </x:c>
      <x:c r="E33" s="2"/>
      <x:c r="F33" s="33" t="n">
        <x:f>SUM(J33:U33)</x:f>
        <x:v>5555555.555555556</x:v>
      </x:c>
      <x:c r="G33" s="33" t="n">
        <x:f>SUM(V33:AG33)</x:f>
        <x:v>8333333.333333332</x:v>
      </x:c>
      <x:c r="H33" s="33" t="n">
        <x:f>SUM(AH33:AS33)</x:f>
        <x:v>8333333.333333332</x:v>
      </x:c>
      <x:c r="I33" s="2"/>
      <x:c r="J33" s="31" t="n">
        <x:f>IF(AND(J$6&gt;=MAX(1,'01_가정'!F46-2),J$6&lt;MAX(1,'01_가정'!F46-2)+'01_가정'!$F$104),'01_가정'!$F$103/'01_가정'!$F$104,0)</x:f>
        <x:v>0</x:v>
      </x:c>
      <x:c r="K33" s="31" t="n">
        <x:f>IF(AND(K$6&gt;=MAX(1,'01_가정'!F46-2),K$6&lt;MAX(1,'01_가정'!F46-2)+'01_가정'!$F$104),'01_가정'!$F$103/'01_가정'!$F$104,0)</x:f>
        <x:v>0</x:v>
      </x:c>
      <x:c r="L33" s="31" t="n">
        <x:f>IF(AND(L$6&gt;=MAX(1,'01_가정'!F46-2),L$6&lt;MAX(1,'01_가정'!F46-2)+'01_가정'!$F$104),'01_가정'!$F$103/'01_가정'!$F$104,0)</x:f>
        <x:v>0</x:v>
      </x:c>
      <x:c r="M33" s="31" t="n">
        <x:f>IF(AND(M$6&gt;=MAX(1,'01_가정'!F46-2),M$6&lt;MAX(1,'01_가정'!F46-2)+'01_가정'!$F$104),'01_가정'!$F$103/'01_가정'!$F$104,0)</x:f>
        <x:v>0</x:v>
      </x:c>
      <x:c r="N33" s="31" t="n">
        <x:f>IF(AND(N$6&gt;=MAX(1,'01_가정'!F46-2),N$6&lt;MAX(1,'01_가정'!F46-2)+'01_가정'!$F$104),'01_가정'!$F$103/'01_가정'!$F$104,0)</x:f>
        <x:v>694444.4444444445</x:v>
      </x:c>
      <x:c r="O33" s="31" t="n">
        <x:f>IF(AND(O$6&gt;=MAX(1,'01_가정'!F46-2),O$6&lt;MAX(1,'01_가정'!F46-2)+'01_가정'!$F$104),'01_가정'!$F$103/'01_가정'!$F$104,0)</x:f>
        <x:v>694444.4444444445</x:v>
      </x:c>
      <x:c r="P33" s="31" t="n">
        <x:f>IF(AND(P$6&gt;=MAX(1,'01_가정'!F46-2),P$6&lt;MAX(1,'01_가정'!F46-2)+'01_가정'!$F$104),'01_가정'!$F$103/'01_가정'!$F$104,0)</x:f>
        <x:v>694444.4444444445</x:v>
      </x:c>
      <x:c r="Q33" s="31" t="n">
        <x:f>IF(AND(Q$6&gt;=MAX(1,'01_가정'!F46-2),Q$6&lt;MAX(1,'01_가정'!F46-2)+'01_가정'!$F$104),'01_가정'!$F$103/'01_가정'!$F$104,0)</x:f>
        <x:v>694444.4444444445</x:v>
      </x:c>
      <x:c r="R33" s="31" t="n">
        <x:f>IF(AND(R$6&gt;=MAX(1,'01_가정'!F46-2),R$6&lt;MAX(1,'01_가정'!F46-2)+'01_가정'!$F$104),'01_가정'!$F$103/'01_가정'!$F$104,0)</x:f>
        <x:v>694444.4444444445</x:v>
      </x:c>
      <x:c r="S33" s="31" t="n">
        <x:f>IF(AND(S$6&gt;=MAX(1,'01_가정'!F46-2),S$6&lt;MAX(1,'01_가정'!F46-2)+'01_가정'!$F$104),'01_가정'!$F$103/'01_가정'!$F$104,0)</x:f>
        <x:v>694444.4444444445</x:v>
      </x:c>
      <x:c r="T33" s="31" t="n">
        <x:f>IF(AND(T$6&gt;=MAX(1,'01_가정'!F46-2),T$6&lt;MAX(1,'01_가정'!F46-2)+'01_가정'!$F$104),'01_가정'!$F$103/'01_가정'!$F$104,0)</x:f>
        <x:v>694444.4444444445</x:v>
      </x:c>
      <x:c r="U33" s="31" t="n">
        <x:f>IF(AND(U$6&gt;=MAX(1,'01_가정'!F46-2),U$6&lt;MAX(1,'01_가정'!F46-2)+'01_가정'!$F$104),'01_가정'!$F$103/'01_가정'!$F$104,0)</x:f>
        <x:v>694444.4444444445</x:v>
      </x:c>
      <x:c r="V33" s="31" t="n">
        <x:f>IF(AND(V$6&gt;=MAX(1,'01_가정'!F46-2),V$6&lt;MAX(1,'01_가정'!F46-2)+'01_가정'!$F$104),'01_가정'!$F$103/'01_가정'!$F$104,0)</x:f>
        <x:v>694444.4444444445</x:v>
      </x:c>
      <x:c r="W33" s="31" t="n">
        <x:f>IF(AND(W$6&gt;=MAX(1,'01_가정'!F46-2),W$6&lt;MAX(1,'01_가정'!F46-2)+'01_가정'!$F$104),'01_가정'!$F$103/'01_가정'!$F$104,0)</x:f>
        <x:v>694444.4444444445</x:v>
      </x:c>
      <x:c r="X33" s="31" t="n">
        <x:f>IF(AND(X$6&gt;=MAX(1,'01_가정'!F46-2),X$6&lt;MAX(1,'01_가정'!F46-2)+'01_가정'!$F$104),'01_가정'!$F$103/'01_가정'!$F$104,0)</x:f>
        <x:v>694444.4444444445</x:v>
      </x:c>
      <x:c r="Y33" s="31" t="n">
        <x:f>IF(AND(Y$6&gt;=MAX(1,'01_가정'!F46-2),Y$6&lt;MAX(1,'01_가정'!F46-2)+'01_가정'!$F$104),'01_가정'!$F$103/'01_가정'!$F$104,0)</x:f>
        <x:v>694444.4444444445</x:v>
      </x:c>
      <x:c r="Z33" s="31" t="n">
        <x:f>IF(AND(Z$6&gt;=MAX(1,'01_가정'!F46-2),Z$6&lt;MAX(1,'01_가정'!F46-2)+'01_가정'!$F$104),'01_가정'!$F$103/'01_가정'!$F$104,0)</x:f>
        <x:v>694444.4444444445</x:v>
      </x:c>
      <x:c r="AA33" s="31" t="n">
        <x:f>IF(AND(AA$6&gt;=MAX(1,'01_가정'!F46-2),AA$6&lt;MAX(1,'01_가정'!F46-2)+'01_가정'!$F$104),'01_가정'!$F$103/'01_가정'!$F$104,0)</x:f>
        <x:v>694444.4444444445</x:v>
      </x:c>
      <x:c r="AB33" s="31" t="n">
        <x:f>IF(AND(AB$6&gt;=MAX(1,'01_가정'!F46-2),AB$6&lt;MAX(1,'01_가정'!F46-2)+'01_가정'!$F$104),'01_가정'!$F$103/'01_가정'!$F$104,0)</x:f>
        <x:v>694444.4444444445</x:v>
      </x:c>
      <x:c r="AC33" s="31" t="n">
        <x:f>IF(AND(AC$6&gt;=MAX(1,'01_가정'!F46-2),AC$6&lt;MAX(1,'01_가정'!F46-2)+'01_가정'!$F$104),'01_가정'!$F$103/'01_가정'!$F$104,0)</x:f>
        <x:v>694444.4444444445</x:v>
      </x:c>
      <x:c r="AD33" s="31" t="n">
        <x:f>IF(AND(AD$6&gt;=MAX(1,'01_가정'!F46-2),AD$6&lt;MAX(1,'01_가정'!F46-2)+'01_가정'!$F$104),'01_가정'!$F$103/'01_가정'!$F$104,0)</x:f>
        <x:v>694444.4444444445</x:v>
      </x:c>
      <x:c r="AE33" s="31" t="n">
        <x:f>IF(AND(AE$6&gt;=MAX(1,'01_가정'!F46-2),AE$6&lt;MAX(1,'01_가정'!F46-2)+'01_가정'!$F$104),'01_가정'!$F$103/'01_가정'!$F$104,0)</x:f>
        <x:v>694444.4444444445</x:v>
      </x:c>
      <x:c r="AF33" s="31" t="n">
        <x:f>IF(AND(AF$6&gt;=MAX(1,'01_가정'!F46-2),AF$6&lt;MAX(1,'01_가정'!F46-2)+'01_가정'!$F$104),'01_가정'!$F$103/'01_가정'!$F$104,0)</x:f>
        <x:v>694444.4444444445</x:v>
      </x:c>
      <x:c r="AG33" s="31" t="n">
        <x:f>IF(AND(AG$6&gt;=MAX(1,'01_가정'!F46-2),AG$6&lt;MAX(1,'01_가정'!F46-2)+'01_가정'!$F$104),'01_가정'!$F$103/'01_가정'!$F$104,0)</x:f>
        <x:v>694444.4444444445</x:v>
      </x:c>
      <x:c r="AH33" s="31" t="n">
        <x:f>IF(AND(AH$6&gt;=MAX(1,'01_가정'!F46-2),AH$6&lt;MAX(1,'01_가정'!F46-2)+'01_가정'!$F$104),'01_가정'!$F$103/'01_가정'!$F$104,0)</x:f>
        <x:v>694444.4444444445</x:v>
      </x:c>
      <x:c r="AI33" s="31" t="n">
        <x:f>IF(AND(AI$6&gt;=MAX(1,'01_가정'!F46-2),AI$6&lt;MAX(1,'01_가정'!F46-2)+'01_가정'!$F$104),'01_가정'!$F$103/'01_가정'!$F$104,0)</x:f>
        <x:v>694444.4444444445</x:v>
      </x:c>
      <x:c r="AJ33" s="31" t="n">
        <x:f>IF(AND(AJ$6&gt;=MAX(1,'01_가정'!F46-2),AJ$6&lt;MAX(1,'01_가정'!F46-2)+'01_가정'!$F$104),'01_가정'!$F$103/'01_가정'!$F$104,0)</x:f>
        <x:v>694444.4444444445</x:v>
      </x:c>
      <x:c r="AK33" s="31" t="n">
        <x:f>IF(AND(AK$6&gt;=MAX(1,'01_가정'!F46-2),AK$6&lt;MAX(1,'01_가정'!F46-2)+'01_가정'!$F$104),'01_가정'!$F$103/'01_가정'!$F$104,0)</x:f>
        <x:v>694444.4444444445</x:v>
      </x:c>
      <x:c r="AL33" s="31" t="n">
        <x:f>IF(AND(AL$6&gt;=MAX(1,'01_가정'!F46-2),AL$6&lt;MAX(1,'01_가정'!F46-2)+'01_가정'!$F$104),'01_가정'!$F$103/'01_가정'!$F$104,0)</x:f>
        <x:v>694444.4444444445</x:v>
      </x:c>
      <x:c r="AM33" s="31" t="n">
        <x:f>IF(AND(AM$6&gt;=MAX(1,'01_가정'!F46-2),AM$6&lt;MAX(1,'01_가정'!F46-2)+'01_가정'!$F$104),'01_가정'!$F$103/'01_가정'!$F$104,0)</x:f>
        <x:v>694444.4444444445</x:v>
      </x:c>
      <x:c r="AN33" s="31" t="n">
        <x:f>IF(AND(AN$6&gt;=MAX(1,'01_가정'!F46-2),AN$6&lt;MAX(1,'01_가정'!F46-2)+'01_가정'!$F$104),'01_가정'!$F$103/'01_가정'!$F$104,0)</x:f>
        <x:v>694444.4444444445</x:v>
      </x:c>
      <x:c r="AO33" s="31" t="n">
        <x:f>IF(AND(AO$6&gt;=MAX(1,'01_가정'!F46-2),AO$6&lt;MAX(1,'01_가정'!F46-2)+'01_가정'!$F$104),'01_가정'!$F$103/'01_가정'!$F$104,0)</x:f>
        <x:v>694444.4444444445</x:v>
      </x:c>
      <x:c r="AP33" s="31" t="n">
        <x:f>IF(AND(AP$6&gt;=MAX(1,'01_가정'!F46-2),AP$6&lt;MAX(1,'01_가정'!F46-2)+'01_가정'!$F$104),'01_가정'!$F$103/'01_가정'!$F$104,0)</x:f>
        <x:v>694444.4444444445</x:v>
      </x:c>
      <x:c r="AQ33" s="31" t="n">
        <x:f>IF(AND(AQ$6&gt;=MAX(1,'01_가정'!F46-2),AQ$6&lt;MAX(1,'01_가정'!F46-2)+'01_가정'!$F$104),'01_가정'!$F$103/'01_가정'!$F$104,0)</x:f>
        <x:v>694444.4444444445</x:v>
      </x:c>
      <x:c r="AR33" s="31" t="n">
        <x:f>IF(AND(AR$6&gt;=MAX(1,'01_가정'!F46-2),AR$6&lt;MAX(1,'01_가정'!F46-2)+'01_가정'!$F$104),'01_가정'!$F$103/'01_가정'!$F$104,0)</x:f>
        <x:v>694444.4444444445</x:v>
      </x:c>
      <x:c r="AS33" s="31" t="n">
        <x:f>IF(AND(AS$6&gt;=MAX(1,'01_가정'!F46-2),AS$6&lt;MAX(1,'01_가정'!F46-2)+'01_가정'!$F$104),'01_가정'!$F$103/'01_가정'!$F$104,0)</x:f>
        <x:v>694444.4444444445</x:v>
      </x:c>
    </x:row>
    <x:row r="34" ht="23" customHeight="1">
      <x:c r="A34" s="2"/>
      <x:c r="B34" s="2"/>
      <x:c r="C34" s="2" t="str">
        <x:v>매출 VAT 발생</x:v>
      </x:c>
      <x:c r="D34" s="2" t="str">
        <x:v>원</x:v>
      </x:c>
      <x:c r="E34" s="2"/>
      <x:c r="F34" s="33" t="n">
        <x:f>SUM(J34:U34)</x:f>
        <x:v>5423522.191803091</x:v>
      </x:c>
      <x:c r="G34" s="33" t="n">
        <x:f>SUM(V34:AG34)</x:f>
        <x:v>53312401.207978815</x:v>
      </x:c>
      <x:c r="H34" s="33" t="n">
        <x:f>SUM(AH34:AS34)</x:f>
        <x:v>132829827.11318338</x:v>
      </x:c>
      <x:c r="I34" s="2"/>
      <x:c r="J34" s="31" t="n">
        <x:f>'03_월별손익'!J33*'01_가정'!$F$85</x:f>
        <x:v>0</x:v>
      </x:c>
      <x:c r="K34" s="31" t="n">
        <x:f>'03_월별손익'!K33*'01_가정'!$F$85</x:f>
        <x:v>0</x:v>
      </x:c>
      <x:c r="L34" s="31" t="n">
        <x:f>'03_월별손익'!L33*'01_가정'!$F$85</x:f>
        <x:v>0</x:v>
      </x:c>
      <x:c r="M34" s="31" t="n">
        <x:f>'03_월별손익'!M33*'01_가정'!$F$85</x:f>
        <x:v>0</x:v>
      </x:c>
      <x:c r="N34" s="31" t="n">
        <x:f>'03_월별손익'!N33*'01_가정'!$F$85</x:f>
        <x:v>0</x:v>
      </x:c>
      <x:c r="O34" s="31" t="n">
        <x:f>'03_월별손익'!O33*'01_가정'!$F$85</x:f>
        <x:v>0</x:v>
      </x:c>
      <x:c r="P34" s="31" t="n">
        <x:f>'03_월별손익'!P33*'01_가정'!$F$85</x:f>
        <x:v>486010.9090909091</x:v>
      </x:c>
      <x:c r="Q34" s="31" t="n">
        <x:f>'03_월별손익'!Q33*'01_가정'!$F$85</x:f>
        <x:v>745556.249090909</x:v>
      </x:c>
      <x:c r="R34" s="31" t="n">
        <x:f>'03_월별손익'!R33*'01_가정'!$F$85</x:f>
        <x:v>1021819.1641818181</x:v>
      </x:c>
      <x:c r="S34" s="31" t="n">
        <x:f>'03_월별손익'!S33*'01_가정'!$F$85</x:f>
        <x:v>1040478.4114000001</x:v>
      </x:c>
      <x:c r="T34" s="31" t="n">
        <x:f>'03_월별손익'!T33*'01_가정'!$F$85</x:f>
        <x:v>1057271.7338963635</x:v>
      </x:c>
      <x:c r="U34" s="31" t="n">
        <x:f>'03_월별손익'!U33*'01_가정'!$F$85</x:f>
        <x:v>1072385.724143091</x:v>
      </x:c>
      <x:c r="V34" s="31" t="n">
        <x:f>'03_월별손익'!V33*'01_가정'!$F$85</x:f>
        <x:v>4057938.1726065762</x:v>
      </x:c>
      <x:c r="W34" s="31" t="n">
        <x:f>'03_월별손익'!W33*'01_가정'!$F$85</x:f>
        <x:v>4150860.252526529</x:v>
      </x:c>
      <x:c r="X34" s="31" t="n">
        <x:f>'03_월별손익'!X33*'01_가정'!$F$85</x:f>
        <x:v>4235419.345253687</x:v>
      </x:c>
      <x:c r="Y34" s="31" t="n">
        <x:f>'03_월별손익'!Y33*'01_가정'!$F$85</x:f>
        <x:v>4312368.119635401</x:v>
      </x:c>
      <x:c r="Z34" s="31" t="n">
        <x:f>'03_월별손익'!Z33*'01_가정'!$F$85</x:f>
        <x:v>4382391.50432276</x:v>
      </x:c>
      <x:c r="AA34" s="31" t="n">
        <x:f>'03_월별손익'!AA33*'01_가정'!$F$85</x:f>
        <x:v>4446112.784388257</x:v>
      </x:c>
      <x:c r="AB34" s="31" t="n">
        <x:f>'03_월별손익'!AB33*'01_가정'!$F$85</x:f>
        <x:v>4504099.14924786</x:v>
      </x:c>
      <x:c r="AC34" s="31" t="n">
        <x:f>'03_월별손익'!AC33*'01_가정'!$F$85</x:f>
        <x:v>4556866.741270098</x:v>
      </x:c>
      <x:c r="AD34" s="31" t="n">
        <x:f>'03_월별손익'!AD33*'01_가정'!$F$85</x:f>
        <x:v>4604885.250010334</x:v>
      </x:c>
      <x:c r="AE34" s="31" t="n">
        <x:f>'03_월별손익'!AE33*'01_가정'!$F$85</x:f>
        <x:v>4648582.09296395</x:v>
      </x:c>
      <x:c r="AF34" s="31" t="n">
        <x:f>'03_월별손익'!AF33*'01_가정'!$F$85</x:f>
        <x:v>4688346.220051739</x:v>
      </x:c>
      <x:c r="AG34" s="31" t="n">
        <x:f>'03_월별손익'!AG33*'01_가정'!$F$85</x:f>
        <x:v>4724531.575701628</x:v>
      </x:c>
      <x:c r="AH34" s="31" t="n">
        <x:f>'03_월별손익'!AH33*'01_가정'!$F$85</x:f>
        <x:v>10155437.79237277</x:v>
      </x:c>
      <x:c r="AI34" s="31" t="n">
        <x:f>'03_월별손익'!AI33*'01_가정'!$F$85</x:f>
        <x:v>10369598.517164767</x:v>
      </x:c>
      <x:c r="AJ34" s="31" t="n">
        <x:f>'03_월별손익'!AJ33*'01_가정'!$F$85</x:f>
        <x:v>10566626.383973405</x:v>
      </x:c>
      <x:c r="AK34" s="31" t="n">
        <x:f>'03_월별손익'!AK33*'01_가정'!$F$85</x:f>
        <x:v>10747892.02143735</x:v>
      </x:c>
      <x:c r="AL34" s="31" t="n">
        <x:f>'03_월별손익'!AL33*'01_가정'!$F$85</x:f>
        <x:v>10914656.407904182</x:v>
      </x:c>
      <x:c r="AM34" s="31" t="n">
        <x:f>'03_월별손익'!AM33*'01_가정'!$F$85</x:f>
        <x:v>11068079.643453665</x:v>
      </x:c>
      <x:c r="AN34" s="31" t="n">
        <x:f>'03_월별손익'!AN33*'01_가정'!$F$85</x:f>
        <x:v>11209229.02015919</x:v>
      </x:c>
      <x:c r="AO34" s="31" t="n">
        <x:f>'03_월별손익'!AO33*'01_가정'!$F$85</x:f>
        <x:v>11339086.446728274</x:v>
      </x:c>
      <x:c r="AP34" s="31" t="n">
        <x:f>'03_월별손익'!AP33*'01_가정'!$F$85</x:f>
        <x:v>11458555.27917183</x:v>
      </x:c>
      <x:c r="AQ34" s="31" t="n">
        <x:f>'03_월별손익'!AQ33*'01_가정'!$F$85</x:f>
        <x:v>11568466.605019901</x:v>
      </x:c>
      <x:c r="AR34" s="31" t="n">
        <x:f>'03_월별손익'!AR33*'01_가정'!$F$85</x:f>
        <x:v>11669585.02480013</x:v>
      </x:c>
      <x:c r="AS34" s="31" t="n">
        <x:f>'03_월별손익'!AS33*'01_가정'!$F$85</x:f>
        <x:v>11762613.970997937</x:v>
      </x:c>
    </x:row>
    <x:row r="35" ht="23" customHeight="1">
      <x:c r="A35" s="2"/>
      <x:c r="B35" s="2"/>
      <x:c r="C35" s="2" t="str">
        <x:v>매입 VAT 공제 가정</x:v>
      </x:c>
      <x:c r="D35" s="2" t="str">
        <x:v>원</x:v>
      </x:c>
      <x:c r="E35" s="2"/>
      <x:c r="F35" s="33" t="n">
        <x:f>SUM(J35:U35)</x:f>
        <x:v>15386085.503703503</x:v>
      </x:c>
      <x:c r="G35" s="33" t="n">
        <x:f>SUM(V35:AG35)</x:f>
        <x:v>39984664.398688555</x:v>
      </x:c>
      <x:c r="H35" s="33" t="n">
        <x:f>SUM(AH35:AS35)</x:f>
        <x:v>83266842.89036475</x:v>
      </x:c>
      <x:c r="I35" s="2"/>
      <x:c r="J35" s="31" t="n">
        <x:f>(J13+(J30+J32)/(1+'01_가정'!$F$85))*'01_가정'!$F$85</x:f>
        <x:v>400000</x:v>
      </x:c>
      <x:c r="K35" s="31" t="n">
        <x:f>(K13+(K30+K32)/(1+'01_가정'!$F$85))*'01_가정'!$F$85</x:f>
        <x:v>500000</x:v>
      </x:c>
      <x:c r="L35" s="31" t="n">
        <x:f>(L13+(L30+L32)/(1+'01_가정'!$F$85))*'01_가정'!$F$85</x:f>
        <x:v>500000</x:v>
      </x:c>
      <x:c r="M35" s="31" t="n">
        <x:f>(M13+(M30+M32)/(1+'01_가정'!$F$85))*'01_가정'!$F$85</x:f>
        <x:v>1900000</x:v>
      </x:c>
      <x:c r="N35" s="31" t="n">
        <x:f>(N13+(N30+N32)/(1+'01_가정'!$F$85))*'01_가정'!$F$85</x:f>
        <x:v>4200000</x:v>
      </x:c>
      <x:c r="O35" s="31" t="n">
        <x:f>(O13+(O30+O32)/(1+'01_가정'!$F$85))*'01_가정'!$F$85</x:f>
        <x:v>1700000</x:v>
      </x:c>
      <x:c r="P35" s="31" t="n">
        <x:f>(P13+(P30+P32)/(1+'01_가정'!$F$85))*'01_가정'!$F$85</x:f>
        <x:v>1997160.3600000003</x:v>
      </x:c>
      <x:c r="Q35" s="31" t="n">
        <x:f>(Q13+(Q30+Q32)/(1+'01_가정'!$F$85))*'01_가정'!$F$85</x:f>
        <x:v>427623.49622000003</x:v>
      </x:c>
      <x:c r="R35" s="31" t="n">
        <x:f>(R13+(R30+R32)/(1+'01_가정'!$F$85))*'01_가정'!$F$85</x:f>
        <x:v>511887.698418</x:v>
      </x:c>
      <x:c r="S35" s="31" t="n">
        <x:f>(S13+(S30+S32)/(1+'01_가정'!$F$85))*'01_가정'!$F$85</x:f>
        <x:v>2173251.4869762002</x:v>
      </x:c>
      <x:c r="T35" s="31" t="n">
        <x:f>(T13+(T30+T32)/(1+'01_가정'!$F$85))*'01_가정'!$F$85</x:f>
        <x:v>533478.89667858</x:v>
      </x:c>
      <x:c r="U35" s="31" t="n">
        <x:f>(U13+(U30+U32)/(1+'01_가정'!$F$85))*'01_가정'!$F$85</x:f>
        <x:v>542683.565410722</x:v>
      </x:c>
      <x:c r="V35" s="31" t="n">
        <x:f>(V13+(V30+V32)/(1+'01_가정'!$F$85))*'01_가정'!$F$85</x:f>
        <x:v>5982772.641230658</x:v>
      </x:c>
      <x:c r="W35" s="31" t="n">
        <x:f>(W13+(W30+W32)/(1+'01_가정'!$F$85))*'01_가정'!$F$85</x:f>
        <x:v>1536938.128529898</x:v>
      </x:c>
      <x:c r="X35" s="31" t="n">
        <x:f>(X13+(X30+X32)/(1+'01_가정'!$F$85))*'01_가정'!$F$85</x:f>
        <x:v>1586228.721972207</x:v>
      </x:c>
      <x:c r="Y35" s="31" t="n">
        <x:f>(Y13+(Y30+Y32)/(1+'01_가정'!$F$85))*'01_가정'!$F$85</x:f>
        <x:v>7631083.162004709</x:v>
      </x:c>
      <x:c r="Z35" s="31" t="n">
        <x:f>(Z13+(Z30+Z32)/(1+'01_가정'!$F$85))*'01_가정'!$F$85</x:f>
        <x:v>1671900.7024342846</x:v>
      </x:c>
      <x:c r="AA35" s="31" t="n">
        <x:f>(AA13+(AA30+AA32)/(1+'01_가정'!$F$85))*'01_가정'!$F$85</x:f>
        <x:v>1709044.6642251993</x:v>
      </x:c>
      <x:c r="AB35" s="31" t="n">
        <x:f>(AB13+(AB30+AB32)/(1+'01_가정'!$F$85))*'01_가정'!$F$85</x:f>
        <x:v>6242845.669454931</x:v>
      </x:c>
      <x:c r="AC35" s="31" t="n">
        <x:f>(AC13+(AC30+AC32)/(1+'01_가정'!$F$85))*'01_가정'!$F$85</x:f>
        <x:v>1773604.5842139875</x:v>
      </x:c>
      <x:c r="AD35" s="31" t="n">
        <x:f>(AD13+(AD30+AD32)/(1+'01_가정'!$F$85))*'01_가정'!$F$85</x:f>
        <x:v>1801595.1966447288</x:v>
      </x:c>
      <x:c r="AE35" s="31" t="n">
        <x:f>(AE13+(AE30+AE32)/(1+'01_가정'!$F$85))*'01_가정'!$F$85</x:f>
        <x:v>6327066.653956703</x:v>
      </x:c>
      <x:c r="AF35" s="31" t="n">
        <x:f>(AF13+(AF30+AF32)/(1+'01_가정'!$F$85))*'01_가정'!$F$85</x:f>
        <x:v>1850245.6801105998</x:v>
      </x:c>
      <x:c r="AG35" s="31" t="n">
        <x:f>(AG13+(AG30+AG32)/(1+'01_가정'!$F$85))*'01_가정'!$F$85</x:f>
        <x:v>1871338.5939106457</x:v>
      </x:c>
      <x:c r="AH35" s="31" t="n">
        <x:f>(AH13+(AH30+AH32)/(1+'01_가정'!$F$85))*'01_가정'!$F$85</x:f>
        <x:v>12747188.285801481</x:v>
      </x:c>
      <x:c r="AI35" s="31" t="n">
        <x:f>(AI13+(AI30+AI32)/(1+'01_가정'!$F$85))*'01_가정'!$F$85</x:f>
        <x:v>3208298.4626273625</x:v>
      </x:c>
      <x:c r="AJ35" s="31" t="n">
        <x:f>(AJ13+(AJ30+AJ32)/(1+'01_가정'!$F$85))*'01_가정'!$F$85</x:f>
        <x:v>3319719.825307174</x:v>
      </x:c>
      <x:c r="AK35" s="31" t="n">
        <x:f>(AK13+(AK30+AK32)/(1+'01_가정'!$F$85))*'01_가정'!$F$85</x:f>
        <x:v>14462227.478972599</x:v>
      </x:c>
      <x:c r="AL35" s="31" t="n">
        <x:f>(AL13+(AL30+AL32)/(1+'01_가정'!$F$85))*'01_가정'!$F$85</x:f>
        <x:v>3516534.520344792</x:v>
      </x:c>
      <x:c r="AM35" s="31" t="n">
        <x:f>(AM13+(AM30+AM32)/(1+'01_가정'!$F$85))*'01_가정'!$F$85</x:f>
        <x:v>3603296.9984072084</x:v>
      </x:c>
      <x:c r="AN35" s="31" t="n">
        <x:f>(AN13+(AN30+AN32)/(1+'01_가정'!$F$85))*'01_가정'!$F$85</x:f>
        <x:v>13343118.478224633</x:v>
      </x:c>
      <x:c r="AO35" s="31" t="n">
        <x:f>(AO13+(AO30+AO32)/(1+'01_가정'!$F$85))*'01_가정'!$F$85</x:f>
        <x:v>3756554.2396566616</x:v>
      </x:c>
      <x:c r="AP35" s="31" t="n">
        <x:f>(AP13+(AP30+AP32)/(1+'01_가정'!$F$85))*'01_가정'!$F$85</x:f>
        <x:v>3824115.140174128</x:v>
      </x:c>
      <x:c r="AQ35" s="31" t="n">
        <x:f>(AQ13+(AQ30+AQ32)/(1+'01_가정'!$F$85))*'01_가정'!$F$85</x:f>
        <x:v>13546271.168650199</x:v>
      </x:c>
      <x:c r="AR35" s="31" t="n">
        <x:f>(AR13+(AR30+AR32)/(1+'01_가정'!$F$85))*'01_가정'!$F$85</x:f>
        <x:v>3943454.7148481826</x:v>
      </x:c>
      <x:c r="AS35" s="31" t="n">
        <x:f>(AS13+(AS30+AS32)/(1+'01_가정'!$F$85))*'01_가정'!$F$85</x:f>
        <x:v>3996063.577350328</x:v>
      </x:c>
    </x:row>
    <x:row r="36" ht="23" customHeight="1">
      <x:c r="A36" s="2"/>
      <x:c r="B36" s="2"/>
      <x:c r="C36" s="2" t="str">
        <x:v>기초 VAT 순부채</x:v>
      </x:c>
      <x:c r="D36" s="2" t="str">
        <x:v>원</x:v>
      </x:c>
      <x:c r="E36" s="2"/>
      <x:c r="F36" s="33" t="n">
        <x:f>J36</x:f>
        <x:v>0</x:v>
      </x:c>
      <x:c r="G36" s="33" t="n">
        <x:f>V36</x:f>
        <x:v>-9962563.311900415</x:v>
      </x:c>
      <x:c r="H36" s="33" t="n">
        <x:f>AH36</x:f>
        <x:v>3365173.497389853</x:v>
      </x:c>
      <x:c r="I36" s="2"/>
      <x:c r="J36" s="33" t="n">
        <x:f>0</x:f>
        <x:v>0</x:v>
      </x:c>
      <x:c r="K36" s="33" t="n">
        <x:f>J38</x:f>
        <x:v>-400000</x:v>
      </x:c>
      <x:c r="L36" s="33" t="n">
        <x:f>K38</x:f>
        <x:v>-900000</x:v>
      </x:c>
      <x:c r="M36" s="33" t="n">
        <x:f>L38</x:f>
        <x:v>-1400000</x:v>
      </x:c>
      <x:c r="N36" s="33" t="n">
        <x:f>M38</x:f>
        <x:v>-3300000</x:v>
      </x:c>
      <x:c r="O36" s="33" t="n">
        <x:f>N38</x:f>
        <x:v>-7500000</x:v>
      </x:c>
      <x:c r="P36" s="33" t="n">
        <x:f>O38</x:f>
        <x:v>-9200000</x:v>
      </x:c>
      <x:c r="Q36" s="33" t="n">
        <x:f>P38</x:f>
        <x:v>-10711149.450909093</x:v>
      </x:c>
      <x:c r="R36" s="33" t="n">
        <x:f>Q38</x:f>
        <x:v>-10393216.698038183</x:v>
      </x:c>
      <x:c r="S36" s="33" t="n">
        <x:f>R38</x:f>
        <x:v>-9883285.232274367</x:v>
      </x:c>
      <x:c r="T36" s="33" t="n">
        <x:f>S38</x:f>
        <x:v>-11016058.307850568</x:v>
      </x:c>
      <x:c r="U36" s="33" t="n">
        <x:f>T38</x:f>
        <x:v>-10492265.470632784</x:v>
      </x:c>
      <x:c r="V36" s="33" t="n">
        <x:f>U38</x:f>
        <x:v>-9962563.311900415</x:v>
      </x:c>
      <x:c r="W36" s="33" t="n">
        <x:f>V38</x:f>
        <x:v>-11887397.780524496</x:v>
      </x:c>
      <x:c r="X36" s="33" t="n">
        <x:f>W38</x:f>
        <x:v>-9273475.656527866</x:v>
      </x:c>
      <x:c r="Y36" s="33" t="n">
        <x:f>X38</x:f>
        <x:v>-6624285.033246385</x:v>
      </x:c>
      <x:c r="Z36" s="33" t="n">
        <x:f>Y38</x:f>
        <x:v>-9943000.075615693</x:v>
      </x:c>
      <x:c r="AA36" s="33" t="n">
        <x:f>Z38</x:f>
        <x:v>-7232509.273727218</x:v>
      </x:c>
      <x:c r="AB36" s="33" t="n">
        <x:f>AA38</x:f>
        <x:v>-4495441.15356416</x:v>
      </x:c>
      <x:c r="AC36" s="33" t="n">
        <x:f>AB38</x:f>
        <x:v>-6234187.673771231</x:v>
      </x:c>
      <x:c r="AD36" s="33" t="n">
        <x:f>AC38</x:f>
        <x:v>-3450925.516715121</x:v>
      </x:c>
      <x:c r="AE36" s="33" t="n">
        <x:f>AD38</x:f>
        <x:v>-647635.4633495158</x:v>
      </x:c>
      <x:c r="AF36" s="33" t="n">
        <x:f>AE38</x:f>
        <x:v>-2326120.0243422687</x:v>
      </x:c>
      <x:c r="AG36" s="33" t="n">
        <x:f>AF38</x:f>
        <x:v>511980.5155988708</x:v>
      </x:c>
      <x:c r="AH36" s="33" t="n">
        <x:f>AG38</x:f>
        <x:v>3365173.497389853</x:v>
      </x:c>
      <x:c r="AI36" s="33" t="n">
        <x:f>AH38</x:f>
        <x:v>-2591750.493428711</x:v>
      </x:c>
      <x:c r="AJ36" s="33" t="n">
        <x:f>AI38</x:f>
        <x:v>4569549.5611086935</x:v>
      </x:c>
      <x:c r="AK36" s="33" t="n">
        <x:f>AJ38</x:f>
        <x:v>11816456.119774925</x:v>
      </x:c>
      <x:c r="AL36" s="33" t="n">
        <x:f>AK38</x:f>
        <x:v>-3714335.4575352464</x:v>
      </x:c>
      <x:c r="AM36" s="33" t="n">
        <x:f>AL38</x:f>
        <x:v>3683786.4300241433</x:v>
      </x:c>
      <x:c r="AN36" s="33" t="n">
        <x:f>AM38</x:f>
        <x:v>11148569.075070601</x:v>
      </x:c>
      <x:c r="AO36" s="33" t="n">
        <x:f>AN38</x:f>
        <x:v>-2133889.4580654446</x:v>
      </x:c>
      <x:c r="AP36" s="33" t="n">
        <x:f>AO38</x:f>
        <x:v>5448642.749006168</x:v>
      </x:c>
      <x:c r="AQ36" s="33" t="n">
        <x:f>AP38</x:f>
        <x:v>13083082.88800387</x:v>
      </x:c>
      <x:c r="AR36" s="33" t="n">
        <x:f>AQ38</x:f>
        <x:v>-1977804.5636302978</x:v>
      </x:c>
      <x:c r="AS36" s="33" t="n">
        <x:f>AR38</x:f>
        <x:v>5748325.746321648</x:v>
      </x:c>
    </x:row>
    <x:row r="37" ht="23" customHeight="1">
      <x:c r="A37" s="2"/>
      <x:c r="B37" s="2"/>
      <x:c r="C37" s="2" t="str">
        <x:v>분기 후 VAT 납부</x:v>
      </x:c>
      <x:c r="D37" s="2" t="str">
        <x:v>원</x:v>
      </x:c>
      <x:c r="E37" s="2"/>
      <x:c r="F37" s="33" t="n">
        <x:f>SUM(J37:U37)</x:f>
        <x:v>0</x:v>
      </x:c>
      <x:c r="G37" s="33" t="n">
        <x:f>SUM(V37:AG37)</x:f>
        <x:v>0</x:v>
      </x:c>
      <x:c r="H37" s="33" t="n">
        <x:f>SUM(AH37:AS37)</x:f>
        <x:v>39413281.58023925</x:v>
      </x:c>
      <x:c r="I37" s="2"/>
      <x:c r="J37" s="33" t="n">
        <x:f>IF(AND(J$6&gt;1,MOD(MONTH(J$5)-1,3)=0),MAX(0,J36),0)</x:f>
        <x:v>0</x:v>
      </x:c>
      <x:c r="K37" s="33" t="n">
        <x:f>IF(AND(K$6&gt;1,MOD(MONTH(K$5)-1,3)=0),MAX(0,K36),0)</x:f>
        <x:v>0</x:v>
      </x:c>
      <x:c r="L37" s="33" t="n">
        <x:f>IF(AND(L$6&gt;1,MOD(MONTH(L$5)-1,3)=0),MAX(0,L36),0)</x:f>
        <x:v>0</x:v>
      </x:c>
      <x:c r="M37" s="33" t="n">
        <x:f>IF(AND(M$6&gt;1,MOD(MONTH(M$5)-1,3)=0),MAX(0,M36),0)</x:f>
        <x:v>0</x:v>
      </x:c>
      <x:c r="N37" s="33" t="n">
        <x:f>IF(AND(N$6&gt;1,MOD(MONTH(N$5)-1,3)=0),MAX(0,N36),0)</x:f>
        <x:v>0</x:v>
      </x:c>
      <x:c r="O37" s="33" t="n">
        <x:f>IF(AND(O$6&gt;1,MOD(MONTH(O$5)-1,3)=0),MAX(0,O36),0)</x:f>
        <x:v>0</x:v>
      </x:c>
      <x:c r="P37" s="33" t="n">
        <x:f>IF(AND(P$6&gt;1,MOD(MONTH(P$5)-1,3)=0),MAX(0,P36),0)</x:f>
        <x:v>0</x:v>
      </x:c>
      <x:c r="Q37" s="33" t="n">
        <x:f>IF(AND(Q$6&gt;1,MOD(MONTH(Q$5)-1,3)=0),MAX(0,Q36),0)</x:f>
        <x:v>0</x:v>
      </x:c>
      <x:c r="R37" s="33" t="n">
        <x:f>IF(AND(R$6&gt;1,MOD(MONTH(R$5)-1,3)=0),MAX(0,R36),0)</x:f>
        <x:v>0</x:v>
      </x:c>
      <x:c r="S37" s="33" t="n">
        <x:f>IF(AND(S$6&gt;1,MOD(MONTH(S$5)-1,3)=0),MAX(0,S36),0)</x:f>
        <x:v>0</x:v>
      </x:c>
      <x:c r="T37" s="33" t="n">
        <x:f>IF(AND(T$6&gt;1,MOD(MONTH(T$5)-1,3)=0),MAX(0,T36),0)</x:f>
        <x:v>0</x:v>
      </x:c>
      <x:c r="U37" s="33" t="n">
        <x:f>IF(AND(U$6&gt;1,MOD(MONTH(U$5)-1,3)=0),MAX(0,U36),0)</x:f>
        <x:v>0</x:v>
      </x:c>
      <x:c r="V37" s="33" t="n">
        <x:f>IF(AND(V$6&gt;1,MOD(MONTH(V$5)-1,3)=0),MAX(0,V36),0)</x:f>
        <x:v>0</x:v>
      </x:c>
      <x:c r="W37" s="33" t="n">
        <x:f>IF(AND(W$6&gt;1,MOD(MONTH(W$5)-1,3)=0),MAX(0,W36),0)</x:f>
        <x:v>0</x:v>
      </x:c>
      <x:c r="X37" s="33" t="n">
        <x:f>IF(AND(X$6&gt;1,MOD(MONTH(X$5)-1,3)=0),MAX(0,X36),0)</x:f>
        <x:v>0</x:v>
      </x:c>
      <x:c r="Y37" s="33" t="n">
        <x:f>IF(AND(Y$6&gt;1,MOD(MONTH(Y$5)-1,3)=0),MAX(0,Y36),0)</x:f>
        <x:v>0</x:v>
      </x:c>
      <x:c r="Z37" s="33" t="n">
        <x:f>IF(AND(Z$6&gt;1,MOD(MONTH(Z$5)-1,3)=0),MAX(0,Z36),0)</x:f>
        <x:v>0</x:v>
      </x:c>
      <x:c r="AA37" s="33" t="n">
        <x:f>IF(AND(AA$6&gt;1,MOD(MONTH(AA$5)-1,3)=0),MAX(0,AA36),0)</x:f>
        <x:v>0</x:v>
      </x:c>
      <x:c r="AB37" s="33" t="n">
        <x:f>IF(AND(AB$6&gt;1,MOD(MONTH(AB$5)-1,3)=0),MAX(0,AB36),0)</x:f>
        <x:v>0</x:v>
      </x:c>
      <x:c r="AC37" s="33" t="n">
        <x:f>IF(AND(AC$6&gt;1,MOD(MONTH(AC$5)-1,3)=0),MAX(0,AC36),0)</x:f>
        <x:v>0</x:v>
      </x:c>
      <x:c r="AD37" s="33" t="n">
        <x:f>IF(AND(AD$6&gt;1,MOD(MONTH(AD$5)-1,3)=0),MAX(0,AD36),0)</x:f>
        <x:v>0</x:v>
      </x:c>
      <x:c r="AE37" s="33" t="n">
        <x:f>IF(AND(AE$6&gt;1,MOD(MONTH(AE$5)-1,3)=0),MAX(0,AE36),0)</x:f>
        <x:v>0</x:v>
      </x:c>
      <x:c r="AF37" s="33" t="n">
        <x:f>IF(AND(AF$6&gt;1,MOD(MONTH(AF$5)-1,3)=0),MAX(0,AF36),0)</x:f>
        <x:v>0</x:v>
      </x:c>
      <x:c r="AG37" s="33" t="n">
        <x:f>IF(AND(AG$6&gt;1,MOD(MONTH(AG$5)-1,3)=0),MAX(0,AG36),0)</x:f>
        <x:v>0</x:v>
      </x:c>
      <x:c r="AH37" s="33" t="n">
        <x:f>IF(AND(AH$6&gt;1,MOD(MONTH(AH$5)-1,3)=0),MAX(0,AH36),0)</x:f>
        <x:v>3365173.497389853</x:v>
      </x:c>
      <x:c r="AI37" s="33" t="n">
        <x:f>IF(AND(AI$6&gt;1,MOD(MONTH(AI$5)-1,3)=0),MAX(0,AI36),0)</x:f>
        <x:v>0</x:v>
      </x:c>
      <x:c r="AJ37" s="33" t="n">
        <x:f>IF(AND(AJ$6&gt;1,MOD(MONTH(AJ$5)-1,3)=0),MAX(0,AJ36),0)</x:f>
        <x:v>0</x:v>
      </x:c>
      <x:c r="AK37" s="33" t="n">
        <x:f>IF(AND(AK$6&gt;1,MOD(MONTH(AK$5)-1,3)=0),MAX(0,AK36),0)</x:f>
        <x:v>11816456.119774925</x:v>
      </x:c>
      <x:c r="AL37" s="33" t="n">
        <x:f>IF(AND(AL$6&gt;1,MOD(MONTH(AL$5)-1,3)=0),MAX(0,AL36),0)</x:f>
        <x:v>0</x:v>
      </x:c>
      <x:c r="AM37" s="33" t="n">
        <x:f>IF(AND(AM$6&gt;1,MOD(MONTH(AM$5)-1,3)=0),MAX(0,AM36),0)</x:f>
        <x:v>0</x:v>
      </x:c>
      <x:c r="AN37" s="33" t="n">
        <x:f>IF(AND(AN$6&gt;1,MOD(MONTH(AN$5)-1,3)=0),MAX(0,AN36),0)</x:f>
        <x:v>11148569.075070601</x:v>
      </x:c>
      <x:c r="AO37" s="33" t="n">
        <x:f>IF(AND(AO$6&gt;1,MOD(MONTH(AO$5)-1,3)=0),MAX(0,AO36),0)</x:f>
        <x:v>0</x:v>
      </x:c>
      <x:c r="AP37" s="33" t="n">
        <x:f>IF(AND(AP$6&gt;1,MOD(MONTH(AP$5)-1,3)=0),MAX(0,AP36),0)</x:f>
        <x:v>0</x:v>
      </x:c>
      <x:c r="AQ37" s="33" t="n">
        <x:f>IF(AND(AQ$6&gt;1,MOD(MONTH(AQ$5)-1,3)=0),MAX(0,AQ36),0)</x:f>
        <x:v>13083082.88800387</x:v>
      </x:c>
      <x:c r="AR37" s="33" t="n">
        <x:f>IF(AND(AR$6&gt;1,MOD(MONTH(AR$5)-1,3)=0),MAX(0,AR36),0)</x:f>
        <x:v>0</x:v>
      </x:c>
      <x:c r="AS37" s="33" t="n">
        <x:f>IF(AND(AS$6&gt;1,MOD(MONTH(AS$5)-1,3)=0),MAX(0,AS36),0)</x:f>
        <x:v>0</x:v>
      </x:c>
    </x:row>
    <x:row r="38" ht="23" customHeight="1">
      <x:c r="A38" s="2"/>
      <x:c r="B38" s="2"/>
      <x:c r="C38" s="2" t="str">
        <x:v>기말 VAT 순부채</x:v>
      </x:c>
      <x:c r="D38" s="2" t="str">
        <x:v>원</x:v>
      </x:c>
      <x:c r="E38" s="2"/>
      <x:c r="F38" s="33" t="n">
        <x:f>U38</x:f>
        <x:v>-9962563.311900415</x:v>
      </x:c>
      <x:c r="G38" s="33" t="n">
        <x:f>AG38</x:f>
        <x:v>3365173.497389853</x:v>
      </x:c>
      <x:c r="H38" s="33" t="n">
        <x:f>AS38</x:f>
        <x:v>13514876.139969258</x:v>
      </x:c>
      <x:c r="I38" s="2"/>
      <x:c r="J38" s="33" t="n">
        <x:f>J36+J34-J35-J37</x:f>
        <x:v>-400000</x:v>
      </x:c>
      <x:c r="K38" s="33" t="n">
        <x:f>K36+K34-K35-K37</x:f>
        <x:v>-900000</x:v>
      </x:c>
      <x:c r="L38" s="33" t="n">
        <x:f>L36+L34-L35-L37</x:f>
        <x:v>-1400000</x:v>
      </x:c>
      <x:c r="M38" s="33" t="n">
        <x:f>M36+M34-M35-M37</x:f>
        <x:v>-3300000</x:v>
      </x:c>
      <x:c r="N38" s="33" t="n">
        <x:f>N36+N34-N35-N37</x:f>
        <x:v>-7500000</x:v>
      </x:c>
      <x:c r="O38" s="33" t="n">
        <x:f>O36+O34-O35-O37</x:f>
        <x:v>-9200000</x:v>
      </x:c>
      <x:c r="P38" s="33" t="n">
        <x:f>P36+P34-P35-P37</x:f>
        <x:v>-10711149.450909093</x:v>
      </x:c>
      <x:c r="Q38" s="33" t="n">
        <x:f>Q36+Q34-Q35-Q37</x:f>
        <x:v>-10393216.698038183</x:v>
      </x:c>
      <x:c r="R38" s="33" t="n">
        <x:f>R36+R34-R35-R37</x:f>
        <x:v>-9883285.232274367</x:v>
      </x:c>
      <x:c r="S38" s="33" t="n">
        <x:f>S36+S34-S35-S37</x:f>
        <x:v>-11016058.307850568</x:v>
      </x:c>
      <x:c r="T38" s="33" t="n">
        <x:f>T36+T34-T35-T37</x:f>
        <x:v>-10492265.470632784</x:v>
      </x:c>
      <x:c r="U38" s="33" t="n">
        <x:f>U36+U34-U35-U37</x:f>
        <x:v>-9962563.311900415</x:v>
      </x:c>
      <x:c r="V38" s="33" t="n">
        <x:f>V36+V34-V35-V37</x:f>
        <x:v>-11887397.780524496</x:v>
      </x:c>
      <x:c r="W38" s="33" t="n">
        <x:f>W36+W34-W35-W37</x:f>
        <x:v>-9273475.656527866</x:v>
      </x:c>
      <x:c r="X38" s="33" t="n">
        <x:f>X36+X34-X35-X37</x:f>
        <x:v>-6624285.033246385</x:v>
      </x:c>
      <x:c r="Y38" s="33" t="n">
        <x:f>Y36+Y34-Y35-Y37</x:f>
        <x:v>-9943000.075615693</x:v>
      </x:c>
      <x:c r="Z38" s="33" t="n">
        <x:f>Z36+Z34-Z35-Z37</x:f>
        <x:v>-7232509.273727218</x:v>
      </x:c>
      <x:c r="AA38" s="33" t="n">
        <x:f>AA36+AA34-AA35-AA37</x:f>
        <x:v>-4495441.15356416</x:v>
      </x:c>
      <x:c r="AB38" s="33" t="n">
        <x:f>AB36+AB34-AB35-AB37</x:f>
        <x:v>-6234187.673771231</x:v>
      </x:c>
      <x:c r="AC38" s="33" t="n">
        <x:f>AC36+AC34-AC35-AC37</x:f>
        <x:v>-3450925.516715121</x:v>
      </x:c>
      <x:c r="AD38" s="33" t="n">
        <x:f>AD36+AD34-AD35-AD37</x:f>
        <x:v>-647635.4633495158</x:v>
      </x:c>
      <x:c r="AE38" s="33" t="n">
        <x:f>AE36+AE34-AE35-AE37</x:f>
        <x:v>-2326120.0243422687</x:v>
      </x:c>
      <x:c r="AF38" s="33" t="n">
        <x:f>AF36+AF34-AF35-AF37</x:f>
        <x:v>511980.5155988708</x:v>
      </x:c>
      <x:c r="AG38" s="33" t="n">
        <x:f>AG36+AG34-AG35-AG37</x:f>
        <x:v>3365173.497389853</x:v>
      </x:c>
      <x:c r="AH38" s="33" t="n">
        <x:f>AH36+AH34-AH35-AH37</x:f>
        <x:v>-2591750.493428711</x:v>
      </x:c>
      <x:c r="AI38" s="33" t="n">
        <x:f>AI36+AI34-AI35-AI37</x:f>
        <x:v>4569549.5611086935</x:v>
      </x:c>
      <x:c r="AJ38" s="33" t="n">
        <x:f>AJ36+AJ34-AJ35-AJ37</x:f>
        <x:v>11816456.119774925</x:v>
      </x:c>
      <x:c r="AK38" s="33" t="n">
        <x:f>AK36+AK34-AK35-AK37</x:f>
        <x:v>-3714335.4575352464</x:v>
      </x:c>
      <x:c r="AL38" s="33" t="n">
        <x:f>AL36+AL34-AL35-AL37</x:f>
        <x:v>3683786.4300241433</x:v>
      </x:c>
      <x:c r="AM38" s="33" t="n">
        <x:f>AM36+AM34-AM35-AM37</x:f>
        <x:v>11148569.075070601</x:v>
      </x:c>
      <x:c r="AN38" s="33" t="n">
        <x:f>AN36+AN34-AN35-AN37</x:f>
        <x:v>-2133889.4580654446</x:v>
      </x:c>
      <x:c r="AO38" s="33" t="n">
        <x:f>AO36+AO34-AO35-AO37</x:f>
        <x:v>5448642.749006168</x:v>
      </x:c>
      <x:c r="AP38" s="33" t="n">
        <x:f>AP36+AP34-AP35-AP37</x:f>
        <x:v>13083082.88800387</x:v>
      </x:c>
      <x:c r="AQ38" s="33" t="n">
        <x:f>AQ36+AQ34-AQ35-AQ37</x:f>
        <x:v>-1977804.5636302978</x:v>
      </x:c>
      <x:c r="AR38" s="33" t="n">
        <x:f>AR36+AR34-AR35-AR37</x:f>
        <x:v>5748325.746321648</x:v>
      </x:c>
      <x:c r="AS38" s="33" t="n">
        <x:f>AS36+AS34-AS35-AS37</x:f>
        <x:v>13514876.139969258</x:v>
      </x:c>
    </x:row>
    <x:row r="39" ht="23" customHeight="1">
      <x:c r="A39" s="2"/>
      <x:c r="B39" s="2"/>
      <x:c r="C39" s="19" t="str">
        <x:v>현금 지출 합계</x:v>
      </x:c>
      <x:c r="D39" s="19" t="str">
        <x:v>원</x:v>
      </x:c>
      <x:c r="E39" s="19"/>
      <x:c r="F39" s="21" t="n">
        <x:f>SUM(J39:U39)</x:f>
        <x:v>355996940.5407386</x:v>
      </x:c>
      <x:c r="G39" s="21" t="n">
        <x:f>SUM(V39:AG39)</x:f>
        <x:v>637411308.3855741</x:v>
      </x:c>
      <x:c r="H39" s="21" t="n">
        <x:f>SUM(AH39:AS39)</x:f>
        <x:v>1142218553.3742516</x:v>
      </x:c>
      <x:c r="I39" s="19"/>
      <x:c r="J39" s="21" t="n">
        <x:f>SUM(J23,J30:J32,J37)</x:f>
        <x:v>17900000</x:v>
      </x:c>
      <x:c r="K39" s="21" t="n">
        <x:f>SUM(K23,K30:K32,K37)</x:f>
        <x:v>19000000</x:v>
      </x:c>
      <x:c r="L39" s="21" t="n">
        <x:f>SUM(L23,L30:L32,L37)</x:f>
        <x:v>19000000</x:v>
      </x:c>
      <x:c r="M39" s="21" t="n">
        <x:f>SUM(M23,M30:M32,M37)</x:f>
        <x:v>34400000</x:v>
      </x:c>
      <x:c r="N39" s="21" t="n">
        <x:f>SUM(N23,N30:N32,N37)</x:f>
        <x:v>68775000</x:v>
      </x:c>
      <x:c r="O39" s="21" t="n">
        <x:f>SUM(O23,O30:O32,O37)</x:f>
        <x:v>32200000</x:v>
      </x:c>
      <x:c r="P39" s="21" t="n">
        <x:f>SUM(P23,P30:P32,P37)</x:f>
        <x:v>26393763.96</x:v>
      </x:c>
      <x:c r="Q39" s="21" t="n">
        <x:f>SUM(Q23,Q30:Q32,Q37)</x:f>
        <x:v>27278858.45842</x:v>
      </x:c>
      <x:c r="R39" s="21" t="n">
        <x:f>SUM(R23,R30:R32,R37)</x:f>
        <x:v>19130764.682598002</x:v>
      </x:c>
      <x:c r="S39" s="21" t="n">
        <x:f>SUM(S23,S30:S32,S37)</x:f>
        <x:v>28330766.356738202</x:v>
      </x:c>
      <x:c r="T39" s="21" t="n">
        <x:f>SUM(T23,T30:T32,T37)</x:f>
        <x:v>44118267.863464385</x:v>
      </x:c>
      <x:c r="U39" s="21" t="n">
        <x:f>SUM(U23,U30:U32,U37)</x:f>
        <x:v>19469519.219517943</x:v>
      </x:c>
      <x:c r="V39" s="21" t="n">
        <x:f>SUM(V23,V30:V32,V37)</x:f>
        <x:v>55160499.053537235</x:v>
      </x:c>
      <x:c r="W39" s="21" t="n">
        <x:f>SUM(W23,W30:W32,W37)</x:f>
        <x:v>64006319.41382888</x:v>
      </x:c>
      <x:c r="X39" s="21" t="n">
        <x:f>SUM(X23,X30:X32,X37)</x:f>
        <x:v>31548515.94169428</x:v>
      </x:c>
      <x:c r="Y39" s="21" t="n">
        <x:f>SUM(Y23,Y30:Y32,Y37)</x:f>
        <x:v>65041914.7820518</x:v>
      </x:c>
      <x:c r="Z39" s="21" t="n">
        <x:f>SUM(Z23,Z30:Z32,Z37)</x:f>
        <x:v>57240907.72677714</x:v>
      </x:c>
      <x:c r="AA39" s="21" t="n">
        <x:f>SUM(AA23,AA30:AA32,AA37)</x:f>
        <x:v>32899491.306477193</x:v>
      </x:c>
      <x:c r="AB39" s="21" t="n">
        <x:f>SUM(AB23,AB30:AB32,AB37)</x:f>
        <x:v>58021302.36400425</x:v>
      </x:c>
      <x:c r="AC39" s="21" t="n">
        <x:f>SUM(AC23,AC30:AC32,AC37)</x:f>
        <x:v>58359650.42635387</x:v>
      </x:c>
      <x:c r="AD39" s="21" t="n">
        <x:f>SUM(AD23,AD30:AD32,AD37)</x:f>
        <x:v>33917547.16309202</x:v>
      </x:c>
      <x:c r="AE39" s="21" t="n">
        <x:f>SUM(AE23,AE30:AE32,AE37)</x:f>
        <x:v>58947733.193523735</x:v>
      </x:c>
      <x:c r="AF39" s="21" t="n">
        <x:f>SUM(AF23,AF30:AF32,AF37)</x:f>
        <x:v>87582702.48121661</x:v>
      </x:c>
      <x:c r="AG39" s="21" t="n">
        <x:f>SUM(AG23,AG30:AG32,AG37)</x:f>
        <x:v>34684724.5330171</x:v>
      </x:c>
      <x:c r="AH39" s="21" t="n">
        <x:f>SUM(AH23,AH30:AH32,AH37)</x:f>
        <x:v>110454244.64120615</x:v>
      </x:c>
      <x:c r="AI39" s="21" t="n">
        <x:f>SUM(AI23,AI30:AI32,AI37)</x:f>
        <x:v>116011283.088901</x:v>
      </x:c>
      <x:c r="AJ39" s="21" t="n">
        <x:f>SUM(AJ23,AJ30:AJ32,AJ37)</x:f>
        <x:v>56516918.078378916</x:v>
      </x:c>
      <x:c r="AK39" s="21" t="n">
        <x:f>SUM(AK23,AK30:AK32,AK37)</x:f>
        <x:v>130180958.38847353</x:v>
      </x:c>
      <x:c r="AL39" s="21" t="n">
        <x:f>SUM(AL23,AL30:AL32,AL37)</x:f>
        <x:v>111811879.72379272</x:v>
      </x:c>
      <x:c r="AM39" s="21" t="n">
        <x:f>SUM(AM23,AM30:AM32,AM37)</x:f>
        <x:v>59636266.9824793</x:v>
      </x:c>
      <x:c r="AN39" s="21" t="n">
        <x:f>SUM(AN23,AN30:AN32,AN37)</x:f>
        <x:v>124792872.33554156</x:v>
      </x:c>
      <x:c r="AO39" s="21" t="n">
        <x:f>SUM(AO23,AO30:AO32,AO37)</x:f>
        <x:v>114452096.63622329</x:v>
      </x:c>
      <x:c r="AP39" s="21" t="n">
        <x:f>SUM(AP23,AP30:AP32,AP37)</x:f>
        <x:v>62065266.54191541</x:v>
      </x:c>
      <x:c r="AQ39" s="21" t="n">
        <x:f>SUM(AQ23,AQ30:AQ32,AQ37)</x:f>
        <x:v>128962065.74315606</x:v>
      </x:c>
      <x:c r="AR39" s="21" t="n">
        <x:f>SUM(AR23,AR30:AR32,AR37)</x:f>
        <x:v>63378001.86333001</x:v>
      </x:c>
      <x:c r="AS39" s="21" t="n">
        <x:f>SUM(AS23,AS30:AS32,AS37)</x:f>
        <x:v>63956699.350853615</x:v>
      </x:c>
    </x:row>
    <x:row r="40" ht="23" customHeight="1">
      <x:c r="A40" s="2"/>
      <x:c r="B40" s="2"/>
      <x:c r="C40" s="19" t="str">
        <x:v>투자 전 순현금흐름</x:v>
      </x:c>
      <x:c r="D40" s="19" t="str">
        <x:v>원</x:v>
      </x:c>
      <x:c r="E40" s="19"/>
      <x:c r="F40" s="21" t="n">
        <x:f>SUM(J40:U40)</x:f>
        <x:v>-296338196.4309045</x:v>
      </x:c>
      <x:c r="G40" s="21" t="n">
        <x:f>SUM(V40:AG40)</x:f>
        <x:v>-50974895.09780703</x:v>
      </x:c>
      <x:c r="H40" s="21" t="n">
        <x:f>SUM(AH40:AS40)</x:f>
        <x:v>318909544.8707658</x:v>
      </x:c>
      <x:c r="I40" s="19"/>
      <x:c r="J40" s="21" t="n">
        <x:f>J29-J39</x:f>
        <x:v>-17900000</x:v>
      </x:c>
      <x:c r="K40" s="21" t="n">
        <x:f>K29-K39</x:f>
        <x:v>-19000000</x:v>
      </x:c>
      <x:c r="L40" s="21" t="n">
        <x:f>L29-L39</x:f>
        <x:v>-19000000</x:v>
      </x:c>
      <x:c r="M40" s="21" t="n">
        <x:f>M29-M39</x:f>
        <x:v>-34400000</x:v>
      </x:c>
      <x:c r="N40" s="21" t="n">
        <x:f>N29-N39</x:f>
        <x:v>-68775000</x:v>
      </x:c>
      <x:c r="O40" s="21" t="n">
        <x:f>O29-O39</x:f>
        <x:v>-32200000</x:v>
      </x:c>
      <x:c r="P40" s="21" t="n">
        <x:f>P29-P39</x:f>
        <x:v>-21047643.96</x:v>
      </x:c>
      <x:c r="Q40" s="21" t="n">
        <x:f>Q29-Q39</x:f>
        <x:v>-19077739.71842</x:v>
      </x:c>
      <x:c r="R40" s="21" t="n">
        <x:f>R29-R39</x:f>
        <x:v>-7890753.876598002</x:v>
      </x:c>
      <x:c r="S40" s="21" t="n">
        <x:f>S29-S39</x:f>
        <x:v>-16885503.831338204</x:v>
      </x:c>
      <x:c r="T40" s="21" t="n">
        <x:f>T29-T39</x:f>
        <x:v>-32488278.790604383</x:v>
      </x:c>
      <x:c r="U40" s="21" t="n">
        <x:f>U29-U39</x:f>
        <x:v>-7673276.2539439425</x:v>
      </x:c>
      <x:c r="V40" s="21" t="n">
        <x:f>V29-V39</x:f>
        <x:v>-10523179.154864892</x:v>
      </x:c>
      <x:c r="W40" s="21" t="n">
        <x:f>W29-W39</x:f>
        <x:v>-18346856.63603705</x:v>
      </x:c>
      <x:c r="X40" s="21" t="n">
        <x:f>X29-X39</x:f>
        <x:v>15041096.856096286</x:v>
      </x:c>
      <x:c r="Y40" s="21" t="n">
        <x:f>Y29-Y39</x:f>
        <x:v>-17605865.46606239</x:v>
      </x:c>
      <x:c r="Z40" s="21" t="n">
        <x:f>Z29-Z39</x:f>
        <x:v>-9034601.179226771</x:v>
      </x:c>
      <x:c r="AA40" s="21" t="n">
        <x:f>AA29-AA39</x:f>
        <x:v>16007749.321793642</x:v>
      </x:c>
      <x:c r="AB40" s="21" t="n">
        <x:f>AB29-AB39</x:f>
        <x:v>-8476211.72227779</x:v>
      </x:c>
      <x:c r="AC40" s="21" t="n">
        <x:f>AC29-AC39</x:f>
        <x:v>-8234116.272382796</x:v>
      </x:c>
      <x:c r="AD40" s="21" t="n">
        <x:f>AD29-AD39</x:f>
        <x:v>16736190.587021664</x:v>
      </x:c>
      <x:c r="AE40" s="21" t="n">
        <x:f>AE29-AE39</x:f>
        <x:v>-7813330.170920283</x:v>
      </x:c>
      <x:c r="AF40" s="21" t="n">
        <x:f>AF29-AF39</x:f>
        <x:v>-36010894.06064747</x:v>
      </x:c>
      <x:c r="AG40" s="21" t="n">
        <x:f>AG29-AG39</x:f>
        <x:v>17285122.79970082</x:v>
      </x:c>
      <x:c r="AH40" s="21" t="n">
        <x:f>AH29-AH39</x:f>
        <x:v>1255571.0748943388</x:v>
      </x:c>
      <x:c r="AI40" s="21" t="n">
        <x:f>AI29-AI39</x:f>
        <x:v>-1945699.4000885487</x:v>
      </x:c>
      <x:c r="AJ40" s="21" t="n">
        <x:f>AJ29-AJ39</x:f>
        <x:v>59715972.14532854</x:v>
      </x:c>
      <x:c r="AK40" s="21" t="n">
        <x:f>AK29-AK39</x:f>
        <x:v>-11954146.15266268</x:v>
      </x:c>
      <x:c r="AL40" s="21" t="n">
        <x:f>AL29-AL39</x:f>
        <x:v>8249340.76315327</x:v>
      </x:c>
      <x:c r="AM40" s="21" t="n">
        <x:f>AM29-AM39</x:f>
        <x:v>62112609.09551101</x:v>
      </x:c>
      <x:c r="AN40" s="21" t="n">
        <x:f>AN29-AN39</x:f>
        <x:v>-1491353.1137904823</x:v>
      </x:c>
      <x:c r="AO40" s="21" t="n">
        <x:f>AO29-AO39</x:f>
        <x:v>10277854.277787715</x:v>
      </x:c>
      <x:c r="AP40" s="21" t="n">
        <x:f>AP29-AP39</x:f>
        <x:v>63978841.528974704</x:v>
      </x:c>
      <x:c r="AQ40" s="21" t="n">
        <x:f>AQ29-AQ39</x:f>
        <x:v>-1708933.0879371464</x:v>
      </x:c>
      <x:c r="AR40" s="21" t="n">
        <x:f>AR29-AR39</x:f>
        <x:v>64987433.40947139</x:v>
      </x:c>
      <x:c r="AS40" s="21" t="n">
        <x:f>AS29-AS39</x:f>
        <x:v>65432054.33012367</x:v>
      </x:c>
    </x:row>
    <x:row r="41" ht="23" customHeight="1">
      <x:c r="A41" s="2"/>
      <x:c r="B41" s="2"/>
      <x:c r="C41" s="2" t="str">
        <x:v>투자 유입 가정</x:v>
      </x:c>
      <x:c r="D41" s="2" t="str">
        <x:v>원</x:v>
      </x:c>
      <x:c r="E41" s="2"/>
      <x:c r="F41" s="33" t="n">
        <x:f>SUM(J41:U41)</x:f>
        <x:v>300000000</x:v>
      </x:c>
      <x:c r="G41" s="33" t="n">
        <x:f>SUM(V41:AG41)</x:f>
        <x:v>0</x:v>
      </x:c>
      <x:c r="H41" s="33" t="n">
        <x:f>SUM(AH41:AS41)</x:f>
        <x:v>0</x:v>
      </x:c>
      <x:c r="I41" s="2"/>
      <x:c r="J41" s="31" t="n">
        <x:f>'01_가정'!$F$105</x:f>
        <x:v>300000000</x:v>
      </x:c>
      <x:c r="K41" s="33" t="n">
        <x:f>0</x:f>
        <x:v>0</x:v>
      </x:c>
      <x:c r="L41" s="33" t="n">
        <x:f>0</x:f>
        <x:v>0</x:v>
      </x:c>
      <x:c r="M41" s="33" t="n">
        <x:f>0</x:f>
        <x:v>0</x:v>
      </x:c>
      <x:c r="N41" s="33" t="n">
        <x:f>0</x:f>
        <x:v>0</x:v>
      </x:c>
      <x:c r="O41" s="33" t="n">
        <x:f>0</x:f>
        <x:v>0</x:v>
      </x:c>
      <x:c r="P41" s="33" t="n">
        <x:f>0</x:f>
        <x:v>0</x:v>
      </x:c>
      <x:c r="Q41" s="33" t="n">
        <x:f>0</x:f>
        <x:v>0</x:v>
      </x:c>
      <x:c r="R41" s="33" t="n">
        <x:f>0</x:f>
        <x:v>0</x:v>
      </x:c>
      <x:c r="S41" s="33" t="n">
        <x:f>0</x:f>
        <x:v>0</x:v>
      </x:c>
      <x:c r="T41" s="33" t="n">
        <x:f>0</x:f>
        <x:v>0</x:v>
      </x:c>
      <x:c r="U41" s="33" t="n">
        <x:f>0</x:f>
        <x:v>0</x:v>
      </x:c>
      <x:c r="V41" s="33" t="n">
        <x:f>0</x:f>
        <x:v>0</x:v>
      </x:c>
      <x:c r="W41" s="33" t="n">
        <x:f>0</x:f>
        <x:v>0</x:v>
      </x:c>
      <x:c r="X41" s="33" t="n">
        <x:f>0</x:f>
        <x:v>0</x:v>
      </x:c>
      <x:c r="Y41" s="33" t="n">
        <x:f>0</x:f>
        <x:v>0</x:v>
      </x:c>
      <x:c r="Z41" s="33" t="n">
        <x:f>0</x:f>
        <x:v>0</x:v>
      </x:c>
      <x:c r="AA41" s="33" t="n">
        <x:f>0</x:f>
        <x:v>0</x:v>
      </x:c>
      <x:c r="AB41" s="33" t="n">
        <x:f>0</x:f>
        <x:v>0</x:v>
      </x:c>
      <x:c r="AC41" s="33" t="n">
        <x:f>0</x:f>
        <x:v>0</x:v>
      </x:c>
      <x:c r="AD41" s="33" t="n">
        <x:f>0</x:f>
        <x:v>0</x:v>
      </x:c>
      <x:c r="AE41" s="33" t="n">
        <x:f>0</x:f>
        <x:v>0</x:v>
      </x:c>
      <x:c r="AF41" s="33" t="n">
        <x:f>0</x:f>
        <x:v>0</x:v>
      </x:c>
      <x:c r="AG41" s="33" t="n">
        <x:f>0</x:f>
        <x:v>0</x:v>
      </x:c>
      <x:c r="AH41" s="33" t="n">
        <x:f>0</x:f>
        <x:v>0</x:v>
      </x:c>
      <x:c r="AI41" s="33" t="n">
        <x:f>0</x:f>
        <x:v>0</x:v>
      </x:c>
      <x:c r="AJ41" s="33" t="n">
        <x:f>0</x:f>
        <x:v>0</x:v>
      </x:c>
      <x:c r="AK41" s="33" t="n">
        <x:f>0</x:f>
        <x:v>0</x:v>
      </x:c>
      <x:c r="AL41" s="33" t="n">
        <x:f>0</x:f>
        <x:v>0</x:v>
      </x:c>
      <x:c r="AM41" s="33" t="n">
        <x:f>0</x:f>
        <x:v>0</x:v>
      </x:c>
      <x:c r="AN41" s="33" t="n">
        <x:f>0</x:f>
        <x:v>0</x:v>
      </x:c>
      <x:c r="AO41" s="33" t="n">
        <x:f>0</x:f>
        <x:v>0</x:v>
      </x:c>
      <x:c r="AP41" s="33" t="n">
        <x:f>0</x:f>
        <x:v>0</x:v>
      </x:c>
      <x:c r="AQ41" s="33" t="n">
        <x:f>0</x:f>
        <x:v>0</x:v>
      </x:c>
      <x:c r="AR41" s="33" t="n">
        <x:f>0</x:f>
        <x:v>0</x:v>
      </x:c>
      <x:c r="AS41" s="33" t="n">
        <x:f>0</x:f>
        <x:v>0</x:v>
      </x:c>
    </x:row>
    <x:row r="42" ht="23" customHeight="1">
      <x:c r="A42" s="2"/>
      <x:c r="B42" s="2"/>
      <x:c r="C42" s="2" t="str">
        <x:v>기초 현금</x:v>
      </x:c>
      <x:c r="D42" s="2" t="str">
        <x:v>원</x:v>
      </x:c>
      <x:c r="E42" s="2"/>
      <x:c r="F42" s="33" t="n">
        <x:f>J42</x:f>
        <x:v>0</x:v>
      </x:c>
      <x:c r="G42" s="33" t="n">
        <x:f>V42</x:f>
        <x:v>3661803.5690954626</x:v>
      </x:c>
      <x:c r="H42" s="33" t="n">
        <x:f>AH42</x:f>
        <x:v>-47313091.528711565</x:v>
      </x:c>
      <x:c r="I42" s="2"/>
      <x:c r="J42" s="33" t="n">
        <x:f>0</x:f>
        <x:v>0</x:v>
      </x:c>
      <x:c r="K42" s="33" t="n">
        <x:f>J43</x:f>
        <x:v>282100000</x:v>
      </x:c>
      <x:c r="L42" s="33" t="n">
        <x:f>K43</x:f>
        <x:v>263100000</x:v>
      </x:c>
      <x:c r="M42" s="33" t="n">
        <x:f>L43</x:f>
        <x:v>244100000</x:v>
      </x:c>
      <x:c r="N42" s="33" t="n">
        <x:f>M43</x:f>
        <x:v>209700000</x:v>
      </x:c>
      <x:c r="O42" s="33" t="n">
        <x:f>N43</x:f>
        <x:v>140925000</x:v>
      </x:c>
      <x:c r="P42" s="33" t="n">
        <x:f>O43</x:f>
        <x:v>108725000</x:v>
      </x:c>
      <x:c r="Q42" s="33" t="n">
        <x:f>P43</x:f>
        <x:v>87677356.03999999</x:v>
      </x:c>
      <x:c r="R42" s="33" t="n">
        <x:f>Q43</x:f>
        <x:v>68599616.32158</x:v>
      </x:c>
      <x:c r="S42" s="33" t="n">
        <x:f>R43</x:f>
        <x:v>60708862.44498199</x:v>
      </x:c>
      <x:c r="T42" s="33" t="n">
        <x:f>S43</x:f>
        <x:v>43823358.61364379</x:v>
      </x:c>
      <x:c r="U42" s="33" t="n">
        <x:f>T43</x:f>
        <x:v>11335079.823039405</x:v>
      </x:c>
      <x:c r="V42" s="33" t="n">
        <x:f>U43</x:f>
        <x:v>3661803.5690954626</x:v>
      </x:c>
      <x:c r="W42" s="33" t="n">
        <x:f>V43</x:f>
        <x:v>-6861375.58576943</x:v>
      </x:c>
      <x:c r="X42" s="33" t="n">
        <x:f>W43</x:f>
        <x:v>-25208232.22180648</x:v>
      </x:c>
      <x:c r="Y42" s="33" t="n">
        <x:f>X43</x:f>
        <x:v>-10167135.365710195</x:v>
      </x:c>
      <x:c r="Z42" s="33" t="n">
        <x:f>Y43</x:f>
        <x:v>-27773000.831772584</x:v>
      </x:c>
      <x:c r="AA42" s="33" t="n">
        <x:f>Z43</x:f>
        <x:v>-36807602.01099935</x:v>
      </x:c>
      <x:c r="AB42" s="33" t="n">
        <x:f>AA43</x:f>
        <x:v>-20799852.68920571</x:v>
      </x:c>
      <x:c r="AC42" s="33" t="n">
        <x:f>AB43</x:f>
        <x:v>-29276064.4114835</x:v>
      </x:c>
      <x:c r="AD42" s="33" t="n">
        <x:f>AC43</x:f>
        <x:v>-37510180.68386629</x:v>
      </x:c>
      <x:c r="AE42" s="33" t="n">
        <x:f>AD43</x:f>
        <x:v>-20773990.09684463</x:v>
      </x:c>
      <x:c r="AF42" s="33" t="n">
        <x:f>AE43</x:f>
        <x:v>-28587320.26776491</x:v>
      </x:c>
      <x:c r="AG42" s="33" t="n">
        <x:f>AF43</x:f>
        <x:v>-64598214.328412384</x:v>
      </x:c>
      <x:c r="AH42" s="33" t="n">
        <x:f>AG43</x:f>
        <x:v>-47313091.528711565</x:v>
      </x:c>
      <x:c r="AI42" s="33" t="n">
        <x:f>AH43</x:f>
        <x:v>-46057520.453817226</x:v>
      </x:c>
      <x:c r="AJ42" s="33" t="n">
        <x:f>AI43</x:f>
        <x:v>-48003219.853905775</x:v>
      </x:c>
      <x:c r="AK42" s="33" t="n">
        <x:f>AJ43</x:f>
        <x:v>11712752.291422762</x:v>
      </x:c>
      <x:c r="AL42" s="33" t="n">
        <x:f>AK43</x:f>
        <x:v>-241393.86123991758</x:v>
      </x:c>
      <x:c r="AM42" s="33" t="n">
        <x:f>AL43</x:f>
        <x:v>8007946.901913352</x:v>
      </x:c>
      <x:c r="AN42" s="33" t="n">
        <x:f>AM43</x:f>
        <x:v>70120555.99742436</x:v>
      </x:c>
      <x:c r="AO42" s="33" t="n">
        <x:f>AN43</x:f>
        <x:v>68629202.88363388</x:v>
      </x:c>
      <x:c r="AP42" s="33" t="n">
        <x:f>AO43</x:f>
        <x:v>78907057.1614216</x:v>
      </x:c>
      <x:c r="AQ42" s="33" t="n">
        <x:f>AP43</x:f>
        <x:v>142885898.6903963</x:v>
      </x:c>
      <x:c r="AR42" s="33" t="n">
        <x:f>AQ43</x:f>
        <x:v>141176965.60245916</x:v>
      </x:c>
      <x:c r="AS42" s="33" t="n">
        <x:f>AR43</x:f>
        <x:v>206164399.01193056</x:v>
      </x:c>
    </x:row>
    <x:row r="43" ht="23" customHeight="1">
      <x:c r="A43" s="2"/>
      <x:c r="B43" s="2"/>
      <x:c r="C43" s="19" t="str">
        <x:v>기말 현금</x:v>
      </x:c>
      <x:c r="D43" s="19" t="str">
        <x:v>원</x:v>
      </x:c>
      <x:c r="E43" s="19"/>
      <x:c r="F43" s="21" t="n">
        <x:f>U43</x:f>
        <x:v>3661803.5690954626</x:v>
      </x:c>
      <x:c r="G43" s="21" t="n">
        <x:f>AG43</x:f>
        <x:v>-47313091.528711565</x:v>
      </x:c>
      <x:c r="H43" s="21" t="n">
        <x:f>AS43</x:f>
        <x:v>271596453.34205425</x:v>
      </x:c>
      <x:c r="I43" s="19"/>
      <x:c r="J43" s="21" t="n">
        <x:f>SUM(J40:J42)</x:f>
        <x:v>282100000</x:v>
      </x:c>
      <x:c r="K43" s="21" t="n">
        <x:f>SUM(K40:K42)</x:f>
        <x:v>263100000</x:v>
      </x:c>
      <x:c r="L43" s="21" t="n">
        <x:f>SUM(L40:L42)</x:f>
        <x:v>244100000</x:v>
      </x:c>
      <x:c r="M43" s="21" t="n">
        <x:f>SUM(M40:M42)</x:f>
        <x:v>209700000</x:v>
      </x:c>
      <x:c r="N43" s="21" t="n">
        <x:f>SUM(N40:N42)</x:f>
        <x:v>140925000</x:v>
      </x:c>
      <x:c r="O43" s="21" t="n">
        <x:f>SUM(O40:O42)</x:f>
        <x:v>108725000</x:v>
      </x:c>
      <x:c r="P43" s="21" t="n">
        <x:f>SUM(P40:P42)</x:f>
        <x:v>87677356.03999999</x:v>
      </x:c>
      <x:c r="Q43" s="21" t="n">
        <x:f>SUM(Q40:Q42)</x:f>
        <x:v>68599616.32158</x:v>
      </x:c>
      <x:c r="R43" s="21" t="n">
        <x:f>SUM(R40:R42)</x:f>
        <x:v>60708862.44498199</x:v>
      </x:c>
      <x:c r="S43" s="21" t="n">
        <x:f>SUM(S40:S42)</x:f>
        <x:v>43823358.61364379</x:v>
      </x:c>
      <x:c r="T43" s="21" t="n">
        <x:f>SUM(T40:T42)</x:f>
        <x:v>11335079.823039405</x:v>
      </x:c>
      <x:c r="U43" s="21" t="n">
        <x:f>SUM(U40:U42)</x:f>
        <x:v>3661803.5690954626</x:v>
      </x:c>
      <x:c r="V43" s="21" t="n">
        <x:f>SUM(V40:V42)</x:f>
        <x:v>-6861375.58576943</x:v>
      </x:c>
      <x:c r="W43" s="21" t="n">
        <x:f>SUM(W40:W42)</x:f>
        <x:v>-25208232.22180648</x:v>
      </x:c>
      <x:c r="X43" s="21" t="n">
        <x:f>SUM(X40:X42)</x:f>
        <x:v>-10167135.365710195</x:v>
      </x:c>
      <x:c r="Y43" s="21" t="n">
        <x:f>SUM(Y40:Y42)</x:f>
        <x:v>-27773000.831772584</x:v>
      </x:c>
      <x:c r="Z43" s="21" t="n">
        <x:f>SUM(Z40:Z42)</x:f>
        <x:v>-36807602.01099935</x:v>
      </x:c>
      <x:c r="AA43" s="21" t="n">
        <x:f>SUM(AA40:AA42)</x:f>
        <x:v>-20799852.68920571</x:v>
      </x:c>
      <x:c r="AB43" s="21" t="n">
        <x:f>SUM(AB40:AB42)</x:f>
        <x:v>-29276064.4114835</x:v>
      </x:c>
      <x:c r="AC43" s="21" t="n">
        <x:f>SUM(AC40:AC42)</x:f>
        <x:v>-37510180.68386629</x:v>
      </x:c>
      <x:c r="AD43" s="21" t="n">
        <x:f>SUM(AD40:AD42)</x:f>
        <x:v>-20773990.09684463</x:v>
      </x:c>
      <x:c r="AE43" s="21" t="n">
        <x:f>SUM(AE40:AE42)</x:f>
        <x:v>-28587320.26776491</x:v>
      </x:c>
      <x:c r="AF43" s="21" t="n">
        <x:f>SUM(AF40:AF42)</x:f>
        <x:v>-64598214.328412384</x:v>
      </x:c>
      <x:c r="AG43" s="21" t="n">
        <x:f>SUM(AG40:AG42)</x:f>
        <x:v>-47313091.528711565</x:v>
      </x:c>
      <x:c r="AH43" s="21" t="n">
        <x:f>SUM(AH40:AH42)</x:f>
        <x:v>-46057520.453817226</x:v>
      </x:c>
      <x:c r="AI43" s="21" t="n">
        <x:f>SUM(AI40:AI42)</x:f>
        <x:v>-48003219.853905775</x:v>
      </x:c>
      <x:c r="AJ43" s="21" t="n">
        <x:f>SUM(AJ40:AJ42)</x:f>
        <x:v>11712752.291422762</x:v>
      </x:c>
      <x:c r="AK43" s="21" t="n">
        <x:f>SUM(AK40:AK42)</x:f>
        <x:v>-241393.86123991758</x:v>
      </x:c>
      <x:c r="AL43" s="21" t="n">
        <x:f>SUM(AL40:AL42)</x:f>
        <x:v>8007946.901913352</x:v>
      </x:c>
      <x:c r="AM43" s="21" t="n">
        <x:f>SUM(AM40:AM42)</x:f>
        <x:v>70120555.99742436</x:v>
      </x:c>
      <x:c r="AN43" s="21" t="n">
        <x:f>SUM(AN40:AN42)</x:f>
        <x:v>68629202.88363388</x:v>
      </x:c>
      <x:c r="AO43" s="21" t="n">
        <x:f>SUM(AO40:AO42)</x:f>
        <x:v>78907057.1614216</x:v>
      </x:c>
      <x:c r="AP43" s="21" t="n">
        <x:f>SUM(AP40:AP42)</x:f>
        <x:v>142885898.6903963</x:v>
      </x:c>
      <x:c r="AQ43" s="21" t="n">
        <x:f>SUM(AQ40:AQ42)</x:f>
        <x:v>141176965.60245916</x:v>
      </x:c>
      <x:c r="AR43" s="21" t="n">
        <x:f>SUM(AR40:AR42)</x:f>
        <x:v>206164399.01193056</x:v>
      </x:c>
      <x:c r="AS43" s="21" t="n">
        <x:f>SUM(AS40:AS42)</x:f>
        <x:v>271596453.34205425</x:v>
      </x:c>
    </x:row>
    <x:row r="44" ht="23" customHeight="1">
      <x:c r="A44" s="2"/>
      <x:c r="B44" s="2"/>
      <x:c r="C44" s="19" t="str">
        <x:v>최소 현금 대비 부족액</x:v>
      </x:c>
      <x:c r="D44" s="19" t="str">
        <x:v>원</x:v>
      </x:c>
      <x:c r="E44" s="19"/>
      <x:c r="F44" s="21" t="n">
        <x:f>MAX(J44:U44)</x:f>
        <x:v>26338196.430904537</x:v>
      </x:c>
      <x:c r="G44" s="21" t="n">
        <x:f>MAX(V44:AG44)</x:f>
        <x:v>94598214.32841238</x:v>
      </x:c>
      <x:c r="H44" s="21" t="n">
        <x:f>MAX(AH44:AS44)</x:f>
        <x:v>78003219.85390577</x:v>
      </x:c>
      <x:c r="I44" s="19"/>
      <x:c r="J44" s="42" t="n">
        <x:f>MAX(0,'01_가정'!$F$106-J43)</x:f>
        <x:v>0</x:v>
      </x:c>
      <x:c r="K44" s="42" t="n">
        <x:f>MAX(0,'01_가정'!$F$106-K43)</x:f>
        <x:v>0</x:v>
      </x:c>
      <x:c r="L44" s="42" t="n">
        <x:f>MAX(0,'01_가정'!$F$106-L43)</x:f>
        <x:v>0</x:v>
      </x:c>
      <x:c r="M44" s="42" t="n">
        <x:f>MAX(0,'01_가정'!$F$106-M43)</x:f>
        <x:v>0</x:v>
      </x:c>
      <x:c r="N44" s="42" t="n">
        <x:f>MAX(0,'01_가정'!$F$106-N43)</x:f>
        <x:v>0</x:v>
      </x:c>
      <x:c r="O44" s="42" t="n">
        <x:f>MAX(0,'01_가정'!$F$106-O43)</x:f>
        <x:v>0</x:v>
      </x:c>
      <x:c r="P44" s="42" t="n">
        <x:f>MAX(0,'01_가정'!$F$106-P43)</x:f>
        <x:v>0</x:v>
      </x:c>
      <x:c r="Q44" s="42" t="n">
        <x:f>MAX(0,'01_가정'!$F$106-Q43)</x:f>
        <x:v>0</x:v>
      </x:c>
      <x:c r="R44" s="42" t="n">
        <x:f>MAX(0,'01_가정'!$F$106-R43)</x:f>
        <x:v>0</x:v>
      </x:c>
      <x:c r="S44" s="42" t="n">
        <x:f>MAX(0,'01_가정'!$F$106-S43)</x:f>
        <x:v>0</x:v>
      </x:c>
      <x:c r="T44" s="42" t="n">
        <x:f>MAX(0,'01_가정'!$F$106-T43)</x:f>
        <x:v>18664920.176960595</x:v>
      </x:c>
      <x:c r="U44" s="42" t="n">
        <x:f>MAX(0,'01_가정'!$F$106-U43)</x:f>
        <x:v>26338196.430904537</x:v>
      </x:c>
      <x:c r="V44" s="42" t="n">
        <x:f>MAX(0,'01_가정'!$F$106-V43)</x:f>
        <x:v>36861375.58576943</x:v>
      </x:c>
      <x:c r="W44" s="42" t="n">
        <x:f>MAX(0,'01_가정'!$F$106-W43)</x:f>
        <x:v>55208232.22180648</x:v>
      </x:c>
      <x:c r="X44" s="42" t="n">
        <x:f>MAX(0,'01_가정'!$F$106-X43)</x:f>
        <x:v>40167135.3657102</x:v>
      </x:c>
      <x:c r="Y44" s="42" t="n">
        <x:f>MAX(0,'01_가정'!$F$106-Y43)</x:f>
        <x:v>57773000.83177258</x:v>
      </x:c>
      <x:c r="Z44" s="42" t="n">
        <x:f>MAX(0,'01_가정'!$F$106-Z43)</x:f>
        <x:v>66807602.01099935</x:v>
      </x:c>
      <x:c r="AA44" s="42" t="n">
        <x:f>MAX(0,'01_가정'!$F$106-AA43)</x:f>
        <x:v>50799852.689205706</x:v>
      </x:c>
      <x:c r="AB44" s="42" t="n">
        <x:f>MAX(0,'01_가정'!$F$106-AB43)</x:f>
        <x:v>59276064.4114835</x:v>
      </x:c>
      <x:c r="AC44" s="42" t="n">
        <x:f>MAX(0,'01_가정'!$F$106-AC43)</x:f>
        <x:v>67510180.68386629</x:v>
      </x:c>
      <x:c r="AD44" s="42" t="n">
        <x:f>MAX(0,'01_가정'!$F$106-AD43)</x:f>
        <x:v>50773990.09684463</x:v>
      </x:c>
      <x:c r="AE44" s="42" t="n">
        <x:f>MAX(0,'01_가정'!$F$106-AE43)</x:f>
        <x:v>58587320.26776491</x:v>
      </x:c>
      <x:c r="AF44" s="42" t="n">
        <x:f>MAX(0,'01_가정'!$F$106-AF43)</x:f>
        <x:v>94598214.32841238</x:v>
      </x:c>
      <x:c r="AG44" s="42" t="n">
        <x:f>MAX(0,'01_가정'!$F$106-AG43)</x:f>
        <x:v>77313091.52871156</x:v>
      </x:c>
      <x:c r="AH44" s="42" t="n">
        <x:f>MAX(0,'01_가정'!$F$106-AH43)</x:f>
        <x:v>76057520.45381722</x:v>
      </x:c>
      <x:c r="AI44" s="42" t="n">
        <x:f>MAX(0,'01_가정'!$F$106-AI43)</x:f>
        <x:v>78003219.85390577</x:v>
      </x:c>
      <x:c r="AJ44" s="42" t="n">
        <x:f>MAX(0,'01_가정'!$F$106-AJ43)</x:f>
        <x:v>18287247.708577238</x:v>
      </x:c>
      <x:c r="AK44" s="42" t="n">
        <x:f>MAX(0,'01_가정'!$F$106-AK43)</x:f>
        <x:v>30241393.861239918</x:v>
      </x:c>
      <x:c r="AL44" s="42" t="n">
        <x:f>MAX(0,'01_가정'!$F$106-AL43)</x:f>
        <x:v>21992053.098086648</x:v>
      </x:c>
      <x:c r="AM44" s="42" t="n">
        <x:f>MAX(0,'01_가정'!$F$106-AM43)</x:f>
        <x:v>0</x:v>
      </x:c>
      <x:c r="AN44" s="42" t="n">
        <x:f>MAX(0,'01_가정'!$F$106-AN43)</x:f>
        <x:v>0</x:v>
      </x:c>
      <x:c r="AO44" s="42" t="n">
        <x:f>MAX(0,'01_가정'!$F$106-AO43)</x:f>
        <x:v>0</x:v>
      </x:c>
      <x:c r="AP44" s="42" t="n">
        <x:f>MAX(0,'01_가정'!$F$106-AP43)</x:f>
        <x:v>0</x:v>
      </x:c>
      <x:c r="AQ44" s="42" t="n">
        <x:f>MAX(0,'01_가정'!$F$106-AQ43)</x:f>
        <x:v>0</x:v>
      </x:c>
      <x:c r="AR44" s="42" t="n">
        <x:f>MAX(0,'01_가정'!$F$106-AR43)</x:f>
        <x:v>0</x:v>
      </x:c>
      <x:c r="AS44" s="42" t="n">
        <x:f>MAX(0,'01_가정'!$F$106-AS43)</x:f>
        <x:v>0</x:v>
      </x:c>
    </x:row>
    <x:row r="45" ht="23"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ht="23" customHeight="1">
      <x:c r="A46" s="2"/>
      <x:c r="B46" s="2"/>
      <x:c r="C46" s="2" t="str">
        <x:v>손익에서 환산한 현금흐름</x:v>
      </x:c>
      <x:c r="D46" s="2" t="str">
        <x:v>원</x:v>
      </x:c>
      <x:c r="E46" s="2"/>
      <x:c r="F46" s="33" t="n">
        <x:f>SUM(J46:U46)</x:f>
        <x:v>-296338196.4309045</x:v>
      </x:c>
      <x:c r="G46" s="33" t="n">
        <x:f>SUM(V46:AG46)</x:f>
        <x:v>-50974895.09780707</x:v>
      </x:c>
      <x:c r="H46" s="33" t="n">
        <x:f>SUM(AH46:AS46)</x:f>
        <x:v>318909544.87076586</x:v>
      </x:c>
      <x:c r="I46" s="2"/>
      <x:c r="J46" s="31" t="n">
        <x:f>'03_월별손익'!J52+'03_월별손익'!J49*'01_가정'!$F$107-J32/(1+'01_가정'!$F$85)-(J17-J14)-(J24-0)-(J25-0)+(J38-J36)</x:f>
        <x:v>-17900000</x:v>
      </x:c>
      <x:c r="K46" s="31" t="n">
        <x:f>'03_월별손익'!K52+'03_월별손익'!K49*'01_가정'!$F$107-K32/(1+'01_가정'!$F$85)-(K17-K14)-(K24-J24)-(K25-J25)+(K38-K36)</x:f>
        <x:v>-19000000</x:v>
      </x:c>
      <x:c r="L46" s="31" t="n">
        <x:f>'03_월별손익'!L52+'03_월별손익'!L49*'01_가정'!$F$107-L32/(1+'01_가정'!$F$85)-(L17-L14)-(L24-K24)-(L25-K25)+(L38-L36)</x:f>
        <x:v>-19000000</x:v>
      </x:c>
      <x:c r="M46" s="31" t="n">
        <x:f>'03_월별손익'!M52+'03_월별손익'!M49*'01_가정'!$F$107-M32/(1+'01_가정'!$F$85)-(M17-M14)-(M24-L24)-(M25-L25)+(M38-M36)</x:f>
        <x:v>-34400000</x:v>
      </x:c>
      <x:c r="N46" s="31" t="n">
        <x:f>'03_월별손익'!N52+'03_월별손익'!N49*'01_가정'!$F$107-N32/(1+'01_가정'!$F$85)-(N17-N14)-(N24-M24)-(N25-M25)+(N38-N36)</x:f>
        <x:v>-68775000</x:v>
      </x:c>
      <x:c r="O46" s="31" t="n">
        <x:f>'03_월별손익'!O52+'03_월별손익'!O49*'01_가정'!$F$107-O32/(1+'01_가정'!$F$85)-(O17-O14)-(O24-N24)-(O25-N25)+(O38-O36)</x:f>
        <x:v>-32200000</x:v>
      </x:c>
      <x:c r="P46" s="31" t="n">
        <x:f>'03_월별손익'!P52+'03_월별손익'!P49*'01_가정'!$F$107-P32/(1+'01_가정'!$F$85)-(P17-P14)-(P24-O24)-(P25-O25)+(P38-P36)</x:f>
        <x:v>-21047643.96</x:v>
      </x:c>
      <x:c r="Q46" s="31" t="n">
        <x:f>'03_월별손익'!Q52+'03_월별손익'!Q49*'01_가정'!$F$107-Q32/(1+'01_가정'!$F$85)-(Q17-Q14)-(Q24-P24)-(Q25-P25)+(Q38-Q36)</x:f>
        <x:v>-19077739.71842</x:v>
      </x:c>
      <x:c r="R46" s="31" t="n">
        <x:f>'03_월별손익'!R52+'03_월별손익'!R49*'01_가정'!$F$107-R32/(1+'01_가정'!$F$85)-(R17-R14)-(R24-Q24)-(R25-Q25)+(R38-R36)</x:f>
        <x:v>-7890753.876598002</x:v>
      </x:c>
      <x:c r="S46" s="31" t="n">
        <x:f>'03_월별손익'!S52+'03_월별손익'!S49*'01_가정'!$F$107-S32/(1+'01_가정'!$F$85)-(S17-S14)-(S24-R24)-(S25-R25)+(S38-S36)</x:f>
        <x:v>-16885503.8313382</x:v>
      </x:c>
      <x:c r="T46" s="31" t="n">
        <x:f>'03_월별손익'!T52+'03_월별손익'!T49*'01_가정'!$F$107-T32/(1+'01_가정'!$F$85)-(T17-T14)-(T24-S24)-(T25-S25)+(T38-T36)</x:f>
        <x:v>-32488278.790604383</x:v>
      </x:c>
      <x:c r="U46" s="31" t="n">
        <x:f>'03_월별손익'!U52+'03_월별손익'!U49*'01_가정'!$F$107-U32/(1+'01_가정'!$F$85)-(U17-U14)-(U24-T24)-(U25-T25)+(U38-U36)</x:f>
        <x:v>-7673276.2539439425</x:v>
      </x:c>
      <x:c r="V46" s="31" t="n">
        <x:f>'03_월별손익'!V52+'03_월별손익'!V49*'01_가정'!$F$107-V32/(1+'01_가정'!$F$85)-(V17-V14)-(V24-U24)-(V25-U25)+(V38-V36)</x:f>
        <x:v>-10523179.154864885</x:v>
      </x:c>
      <x:c r="W46" s="31" t="n">
        <x:f>'03_월별손익'!W52+'03_월별손익'!W49*'01_가정'!$F$107-W32/(1+'01_가정'!$F$85)-(W17-W14)-(W24-V24)-(W25-V25)+(W38-W36)</x:f>
        <x:v>-18346856.636037063</x:v>
      </x:c>
      <x:c r="X46" s="31" t="n">
        <x:f>'03_월별손익'!X52+'03_월별손익'!X49*'01_가정'!$F$107-X32/(1+'01_가정'!$F$85)-(X17-X14)-(X24-W24)-(X25-W25)+(X38-X36)</x:f>
        <x:v>15041096.856096283</x:v>
      </x:c>
      <x:c r="Y46" s="31" t="n">
        <x:f>'03_월별손익'!Y52+'03_월별손익'!Y49*'01_가정'!$F$107-Y32/(1+'01_가정'!$F$85)-(Y17-Y14)-(Y24-X24)-(Y25-X25)+(Y38-Y36)</x:f>
        <x:v>-17605865.466062382</x:v>
      </x:c>
      <x:c r="Z46" s="31" t="n">
        <x:f>'03_월별손익'!Z52+'03_월별손익'!Z49*'01_가정'!$F$107-Z32/(1+'01_가정'!$F$85)-(Z17-Z14)-(Z24-Y24)-(Z25-Y25)+(Z38-Z36)</x:f>
        <x:v>-9034601.179226773</x:v>
      </x:c>
      <x:c r="AA46" s="31" t="n">
        <x:f>'03_월별손익'!AA52+'03_월별손익'!AA49*'01_가정'!$F$107-AA32/(1+'01_가정'!$F$85)-(AA17-AA14)-(AA24-Z24)-(AA25-Z25)+(AA38-AA36)</x:f>
        <x:v>16007749.321793634</x:v>
      </x:c>
      <x:c r="AB46" s="31" t="n">
        <x:f>'03_월별손익'!AB52+'03_월별손익'!AB49*'01_가정'!$F$107-AB32/(1+'01_가정'!$F$85)-(AB17-AB14)-(AB24-AA24)-(AB25-AA25)+(AB38-AB36)</x:f>
        <x:v>-8476211.722277785</x:v>
      </x:c>
      <x:c r="AC46" s="31" t="n">
        <x:f>'03_월별손익'!AC52+'03_월별손익'!AC49*'01_가정'!$F$107-AC32/(1+'01_가정'!$F$85)-(AC17-AC14)-(AC24-AB24)-(AC25-AB25)+(AC38-AC36)</x:f>
        <x:v>-8234116.272382794</x:v>
      </x:c>
      <x:c r="AD46" s="31" t="n">
        <x:f>'03_월별손익'!AD52+'03_월별손익'!AD49*'01_가정'!$F$107-AD32/(1+'01_가정'!$F$85)-(AD17-AD14)-(AD24-AC24)-(AD25-AC25)+(AD38-AD36)</x:f>
        <x:v>16736190.587021658</x:v>
      </x:c>
      <x:c r="AE46" s="31" t="n">
        <x:f>'03_월별손익'!AE52+'03_월별손익'!AE49*'01_가정'!$F$107-AE32/(1+'01_가정'!$F$85)-(AE17-AE14)-(AE24-AD24)-(AE25-AD25)+(AE38-AE36)</x:f>
        <x:v>-7813330.170920284</x:v>
      </x:c>
      <x:c r="AF46" s="31" t="n">
        <x:f>'03_월별손익'!AF52+'03_월별손익'!AF49*'01_가정'!$F$107-AF32/(1+'01_가정'!$F$85)-(AF17-AF14)-(AF24-AE24)-(AF25-AE25)+(AF38-AF36)</x:f>
        <x:v>-36010894.06064747</x:v>
      </x:c>
      <x:c r="AG46" s="31" t="n">
        <x:f>'03_월별손익'!AG52+'03_월별손익'!AG49*'01_가정'!$F$107-AG32/(1+'01_가정'!$F$85)-(AG17-AG14)-(AG24-AF24)-(AG25-AF25)+(AG38-AG36)</x:f>
        <x:v>17285122.799700804</x:v>
      </x:c>
      <x:c r="AH46" s="31" t="n">
        <x:f>'03_월별손익'!AH52+'03_월별손익'!AH49*'01_가정'!$F$107-AH32/(1+'01_가정'!$F$85)-(AH17-AH14)-(AH24-AG24)-(AH25-AG25)+(AH38-AH36)</x:f>
        <x:v>1255571.07489435</x:v>
      </x:c>
      <x:c r="AI46" s="31" t="n">
        <x:f>'03_월별손익'!AI52+'03_월별손익'!AI49*'01_가정'!$F$107-AI32/(1+'01_가정'!$F$85)-(AI17-AI14)-(AI24-AH24)-(AI25-AH25)+(AI38-AI36)</x:f>
        <x:v>-1945699.4000885598</x:v>
      </x:c>
      <x:c r="AJ46" s="31" t="n">
        <x:f>'03_월별손익'!AJ52+'03_월별손익'!AJ49*'01_가정'!$F$107-AJ32/(1+'01_가정'!$F$85)-(AJ17-AJ14)-(AJ24-AI24)-(AJ25-AI25)+(AJ38-AJ36)</x:f>
        <x:v>59715972.14532854</x:v>
      </x:c>
      <x:c r="AK46" s="31" t="n">
        <x:f>'03_월별손익'!AK52+'03_월별손익'!AK49*'01_가정'!$F$107-AK32/(1+'01_가정'!$F$85)-(AK17-AK14)-(AK24-AJ24)-(AK25-AJ25)+(AK38-AK36)</x:f>
        <x:v>-11954146.152662668</x:v>
      </x:c>
      <x:c r="AL46" s="31" t="n">
        <x:f>'03_월별손익'!AL52+'03_월별손익'!AL49*'01_가정'!$F$107-AL32/(1+'01_가정'!$F$85)-(AL17-AL14)-(AL24-AK24)-(AL25-AK25)+(AL38-AL36)</x:f>
        <x:v>8249340.763153268</x:v>
      </x:c>
      <x:c r="AM46" s="31" t="n">
        <x:f>'03_월별손익'!AM52+'03_월별손익'!AM49*'01_가정'!$F$107-AM32/(1+'01_가정'!$F$85)-(AM17-AM14)-(AM24-AL24)-(AM25-AL25)+(AM38-AM36)</x:f>
        <x:v>62112609.095511004</x:v>
      </x:c>
      <x:c r="AN46" s="31" t="n">
        <x:f>'03_월별손익'!AN52+'03_월별손익'!AN49*'01_가정'!$F$107-AN32/(1+'01_가정'!$F$85)-(AN17-AN14)-(AN24-AM24)-(AN25-AM25)+(AN38-AN36)</x:f>
        <x:v>-1491353.1137904655</x:v>
      </x:c>
      <x:c r="AO46" s="31" t="n">
        <x:f>'03_월별손익'!AO52+'03_월별손익'!AO49*'01_가정'!$F$107-AO32/(1+'01_가정'!$F$85)-(AO17-AO14)-(AO24-AN24)-(AO25-AN25)+(AO38-AO36)</x:f>
        <x:v>10277854.277787726</x:v>
      </x:c>
      <x:c r="AP46" s="31" t="n">
        <x:f>'03_월별손익'!AP52+'03_월별손익'!AP49*'01_가정'!$F$107-AP32/(1+'01_가정'!$F$85)-(AP17-AP14)-(AP24-AO24)-(AP25-AO25)+(AP38-AP36)</x:f>
        <x:v>63978841.52897471</x:v>
      </x:c>
      <x:c r="AQ46" s="31" t="n">
        <x:f>'03_월별손익'!AQ52+'03_월별손익'!AQ49*'01_가정'!$F$107-AQ32/(1+'01_가정'!$F$85)-(AQ17-AQ14)-(AQ24-AP24)-(AQ25-AP25)+(AQ38-AQ36)</x:f>
        <x:v>-1708933.0879371315</x:v>
      </x:c>
      <x:c r="AR46" s="31" t="n">
        <x:f>'03_월별손익'!AR52+'03_월별손익'!AR49*'01_가정'!$F$107-AR32/(1+'01_가정'!$F$85)-(AR17-AR14)-(AR24-AQ24)-(AR25-AQ25)+(AR38-AR36)</x:f>
        <x:v>64987433.40947141</x:v>
      </x:c>
      <x:c r="AS46" s="31" t="n">
        <x:f>'03_월별손익'!AS52+'03_월별손익'!AS49*'01_가정'!$F$107-AS32/(1+'01_가정'!$F$85)-(AS17-AS14)-(AS24-AR24)-(AS25-AR25)+(AS38-AS36)</x:f>
        <x:v>65432054.330123685</x:v>
      </x:c>
    </x:row>
    <x:row r="47" ht="23"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ht="23"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ht="42" customHeight="1">
      <x:c r="A49" s="2"/>
      <x:c r="B49" s="2"/>
      <x:c r="C49" s="13" t="str">
        <x:v>3개월 수요를 최소발주량의 배수로 매입합니다. 제조단가는 입고월 기준입니다. 선금은 선행 기간 전에, 잔금은 입고월에 지급합니다. 모델 시작 전 선금은 M1에 합산하며 조기 출시의 실제 납기 가능성은 별도 확인합니다. 리필은 월별 매입·즉시 출고 가정입니다.</x:v>
      </x:c>
      <x:c r="D49" s="13"/>
      <x:c r="E49" s="13"/>
      <x:c r="F49" s="13"/>
      <x:c r="G49" s="13"/>
      <x:c r="H49" s="13"/>
      <x:c r="I49" s="13"/>
      <x:c r="J49" s="13"/>
      <x:c r="K49" s="13"/>
      <x:c r="L49" s="13"/>
      <x:c r="M49" s="13"/>
      <x:c r="N49" s="13"/>
      <x:c r="O49" s="13"/>
      <x:c r="P49" s="13"/>
      <x:c r="Q49" s="13"/>
      <x:c r="R49" s="13"/>
      <x:c r="S49" s="13"/>
      <x:c r="T49" s="13"/>
      <x:c r="U49" s="13"/>
      <x:c r="V49" s="13"/>
      <x:c r="W49" s="13"/>
      <x:c r="X49" s="13"/>
      <x:c r="Y49" s="13"/>
      <x:c r="Z49" s="13"/>
      <x:c r="AA49" s="13"/>
      <x:c r="AB49" s="13"/>
      <x:c r="AC49" s="13"/>
      <x:c r="AD49" s="13"/>
      <x:c r="AE49" s="13"/>
      <x:c r="AF49" s="13"/>
      <x:c r="AG49" s="13"/>
      <x:c r="AH49" s="13"/>
      <x:c r="AI49" s="13"/>
      <x:c r="AJ49" s="13"/>
      <x:c r="AK49" s="13"/>
      <x:c r="AL49" s="13"/>
      <x:c r="AM49" s="13"/>
      <x:c r="AN49" s="13"/>
      <x:c r="AO49" s="13"/>
      <x:c r="AP49" s="13"/>
      <x:c r="AQ49" s="13"/>
      <x:c r="AR49" s="13"/>
      <x:c r="AS49" s="13"/>
    </x:row>
    <x:row r="50" ht="23"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ht="36" customHeight="1">
      <x:c r="A51" s="2"/>
      <x:c r="B51" s="2"/>
      <x:c r="C51" s="13" t="str">
        <x:v>현금은 법인세 전이며 추가 투자 자동 유입은 없습니다. 음수는 자금 부족입니다. VAT 공제는 제품 입고 시점, DTC 환불과 결제는 당월 처리로 단순화했습니다.</x:v>
      </x:c>
      <x:c r="D51" s="13"/>
      <x:c r="E51" s="13"/>
      <x:c r="F51" s="13"/>
      <x:c r="G51" s="13"/>
      <x:c r="H51" s="13"/>
      <x:c r="I51" s="13"/>
      <x:c r="J51" s="13"/>
      <x:c r="K51" s="13"/>
      <x:c r="L51" s="13"/>
      <x:c r="M51" s="13"/>
      <x:c r="N51" s="13"/>
      <x:c r="O51" s="13"/>
      <x:c r="P51" s="13"/>
      <x:c r="Q51" s="13"/>
      <x:c r="R51" s="13"/>
      <x:c r="S51" s="13"/>
      <x:c r="T51" s="13"/>
      <x:c r="U51" s="13"/>
      <x:c r="V51" s="13"/>
      <x:c r="W51" s="13"/>
      <x:c r="X51" s="13"/>
      <x:c r="Y51" s="13"/>
      <x:c r="Z51" s="13"/>
      <x:c r="AA51" s="13"/>
      <x:c r="AB51" s="13"/>
      <x:c r="AC51" s="13"/>
      <x:c r="AD51" s="13"/>
      <x:c r="AE51" s="13"/>
      <x:c r="AF51" s="13"/>
      <x:c r="AG51" s="13"/>
      <x:c r="AH51" s="13"/>
      <x:c r="AI51" s="13"/>
      <x:c r="AJ51" s="13"/>
      <x:c r="AK51" s="13"/>
      <x:c r="AL51" s="13"/>
      <x:c r="AM51" s="13"/>
      <x:c r="AN51" s="13"/>
      <x:c r="AO51" s="13"/>
      <x:c r="AP51" s="13"/>
      <x:c r="AQ51" s="13"/>
      <x:c r="AR51" s="13"/>
      <x:c r="AS51" s="13"/>
    </x:row>
    <x:row r="52" ht="23"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sheetData>
  <x:mergeCells>
    <x:mergeCell ref="C49:AS49"/>
    <x:mergeCell ref="C51:AS51"/>
  </x:mergeCells>
  <x:conditionalFormatting sqref="F43:AS43">
    <x:cfRule type="cellIs" dxfId="1" priority="1" operator="lessThan">
      <x:formula>0</x:formula>
    </x:cfRule>
  </x:conditionalFormatting>
  <x:pageMargins left="0.7" right="0.7" top="0.75" bottom="0.75" header="0.3" footer="0.3"/>
</x:worksheet>
</file>

<file path=xl/worksheets/sheet6.xml><?xml version="1.0" encoding="utf-8"?>
<x:worksheet xmlns:x="http://schemas.openxmlformats.org/spreadsheetml/2006/main">
  <x:sheetPr>
    <x:tabColor rgb="FFBCC8D3"/>
  </x:sheetPr>
  <x:sheetViews>
    <x:sheetView showGridLines="0" workbookViewId="0"/>
  </x:sheetViews>
  <x:sheetFormatPr defaultRowHeight="15"/>
  <x:cols>
    <x:col min="1" max="1" width="2.200000047683716" hidden="0" customWidth="1"/>
    <x:col min="2" max="2" width="2.200000047683716" hidden="0" customWidth="1"/>
    <x:col min="3" max="3" width="35" hidden="0" customWidth="1"/>
    <x:col min="4" max="4" width="15" hidden="0" customWidth="1"/>
    <x:col min="5" max="5" width="18" hidden="0" customWidth="1"/>
    <x:col min="6" max="6" width="18" hidden="0" customWidth="1"/>
    <x:col min="7" max="7" width="18" hidden="0" customWidth="1"/>
    <x:col min="8" max="8" width="18" hidden="0" customWidth="1"/>
    <x:col min="9" max="9" width="18" hidden="0" customWidth="1"/>
    <x:col min="10" max="10" width="30" hidden="0" customWidth="1"/>
    <x:col min="11" max="11" width="16" hidden="0" customWidth="1"/>
    <x:col min="12" max="12" width="22" hidden="0" customWidth="1"/>
  </x:cols>
  <x:sheetData>
    <x:row r="1" ht="23" customHeight="1">
      <x:c r="A1" s="2"/>
      <x:c r="B1" s="2"/>
      <x:c r="C1" s="2"/>
      <x:c r="D1" s="2"/>
      <x:c r="E1" s="2"/>
      <x:c r="F1" s="2"/>
      <x:c r="G1" s="2"/>
      <x:c r="H1" s="2"/>
      <x:c r="I1" s="2"/>
      <x:c r="J1" s="2"/>
      <x:c r="K1" s="2"/>
      <x:c r="L1" s="2"/>
      <x:c r="M1" s="2"/>
      <x:c r="N1" s="2"/>
    </x:row>
    <x:row r="2" ht="35" customHeight="1">
      <x:c r="A2" s="2"/>
      <x:c r="B2" s="2"/>
      <x:c r="C2" s="3" t="str">
        <x:v>100일 동안 어떤 증거를 확보할 것인가</x:v>
      </x:c>
      <x:c r="D2" s="2"/>
      <x:c r="E2" s="2"/>
      <x:c r="F2" s="2"/>
      <x:c r="G2" s="2"/>
      <x:c r="H2" s="2"/>
      <x:c r="I2" s="2"/>
      <x:c r="J2" s="2"/>
      <x:c r="K2" s="2"/>
      <x:c r="L2" s="2"/>
      <x:c r="M2" s="2"/>
      <x:c r="N2" s="2"/>
    </x:row>
    <x:row r="3" ht="23" customHeight="1">
      <x:c r="A3" s="2"/>
      <x:c r="B3" s="2"/>
      <x:c r="C3" s="2"/>
      <x:c r="D3" s="2"/>
      <x:c r="E3" s="2"/>
      <x:c r="F3" s="2"/>
      <x:c r="G3" s="2"/>
      <x:c r="H3" s="2"/>
      <x:c r="I3" s="2"/>
      <x:c r="J3" s="2"/>
      <x:c r="K3" s="2"/>
      <x:c r="L3" s="2"/>
      <x:c r="M3" s="2"/>
      <x:c r="N3" s="2"/>
    </x:row>
    <x:row r="4" ht="23" customHeight="1">
      <x:c r="A4" s="2"/>
      <x:c r="B4" s="2"/>
      <x:c r="C4" s="2" t="str">
        <x:v>선택 시나리오</x:v>
      </x:c>
      <x:c r="D4" s="2"/>
      <x:c r="E4" s="2"/>
      <x:c r="F4" s="51" t="str">
        <x:f>'01_가정'!H4</x:f>
        <x:v>기준</x:v>
      </x:c>
      <x:c r="G4" s="2"/>
      <x:c r="H4" s="2"/>
      <x:c r="I4" s="2"/>
      <x:c r="J4" s="2"/>
      <x:c r="K4" s="2"/>
      <x:c r="L4" s="2"/>
      <x:c r="M4" s="2"/>
      <x:c r="N4" s="2"/>
    </x:row>
    <x:row r="5" ht="36" customHeight="1">
      <x:c r="A5" s="2"/>
      <x:c r="B5" s="2"/>
      <x:c r="C5" s="13" t="str">
        <x:v>100일 1,000만원은 검증 게임 조건입니다. 초기 사업 전체 인건비와 양산 예산은 포함하지 않습니다. 실집행과 통과 여부는 미입력 상태입니다.</x:v>
      </x:c>
      <x:c r="D5" s="13"/>
      <x:c r="E5" s="13"/>
      <x:c r="F5" s="13"/>
      <x:c r="G5" s="13"/>
      <x:c r="H5" s="13"/>
      <x:c r="I5" s="13"/>
      <x:c r="J5" s="13"/>
      <x:c r="K5" s="13"/>
      <x:c r="L5" s="13"/>
      <x:c r="M5" s="13"/>
      <x:c r="N5" s="13"/>
    </x:row>
    <x:row r="6" ht="23" customHeight="1">
      <x:c r="A6" s="2"/>
      <x:c r="B6" s="2"/>
      <x:c r="C6" s="2"/>
      <x:c r="D6" s="2"/>
      <x:c r="E6" s="2"/>
      <x:c r="F6" s="2"/>
      <x:c r="G6" s="2"/>
      <x:c r="H6" s="2"/>
      <x:c r="I6" s="2"/>
      <x:c r="J6" s="2"/>
      <x:c r="K6" s="2"/>
      <x:c r="L6" s="2"/>
      <x:c r="M6" s="2"/>
      <x:c r="N6" s="2"/>
    </x:row>
    <x:row r="7" ht="36" customHeight="1">
      <x:c r="A7" s="2"/>
      <x:c r="B7" s="2"/>
      <x:c r="C7" s="17" t="str">
        <x:v>검증 항목</x:v>
      </x:c>
      <x:c r="D7" s="17" t="str">
        <x:v>수량</x:v>
      </x:c>
      <x:c r="E7" s="17" t="str">
        <x:v>단가</x:v>
      </x:c>
      <x:c r="F7" s="17" t="str">
        <x:v>계획 예산</x:v>
      </x:c>
      <x:c r="G7" s="17" t="str">
        <x:v>실집행</x:v>
      </x:c>
      <x:c r="H7" s="17" t="str">
        <x:v>잔액</x:v>
      </x:c>
      <x:c r="I7" s="17" t="str">
        <x:v>기간</x:v>
      </x:c>
      <x:c r="J7" s="17" t="str">
        <x:v>산출물</x:v>
      </x:c>
      <x:c r="K7" s="17" t="str">
        <x:v>책임 역할</x:v>
      </x:c>
      <x:c r="L7" s="2"/>
      <x:c r="M7" s="2"/>
      <x:c r="N7" s="2"/>
    </x:row>
    <x:row r="8" ht="30" customHeight="1">
      <x:c r="A8" s="2"/>
      <x:c r="B8" s="2"/>
      <x:c r="C8" s="2" t="str">
        <x:v>규제와 의료 자문</x:v>
      </x:c>
      <x:c r="D8" s="22" t="n">
        <x:v>1</x:v>
      </x:c>
      <x:c r="E8" s="22" t="n">
        <x:v>1500000</x:v>
      </x:c>
      <x:c r="F8" s="33" t="n">
        <x:f>D8*E8</x:f>
        <x:v>1500000</x:v>
      </x:c>
      <x:c r="G8" s="22"/>
      <x:c r="H8" s="33" t="str">
        <x:f>IF(COUNT(G8)=0,"미입력",F8-G8)</x:f>
        <x:v>미입력</x:v>
      </x:c>
      <x:c r="I8" s="2" t="str">
        <x:v>D1~15</x:v>
      </x:c>
      <x:c r="J8" s="2" t="str">
        <x:v>사용목적과 인체시험 검토</x:v>
      </x:c>
      <x:c r="K8" s="2" t="str">
        <x:v>외부 자문</x:v>
      </x:c>
      <x:c r="L8" s="2"/>
      <x:c r="M8" s="2"/>
      <x:c r="N8" s="2"/>
    </x:row>
    <x:row r="9" ht="30" customHeight="1">
      <x:c r="A9" s="2"/>
      <x:c r="B9" s="2"/>
      <x:c r="C9" s="2" t="str">
        <x:v>고객 심층 인터뷰</x:v>
      </x:c>
      <x:c r="D9" s="22" t="n">
        <x:v>24</x:v>
      </x:c>
      <x:c r="E9" s="22" t="n">
        <x:v>30000</x:v>
      </x:c>
      <x:c r="F9" s="33" t="n">
        <x:f>D9*E9</x:f>
        <x:v>720000</x:v>
      </x:c>
      <x:c r="G9" s="22"/>
      <x:c r="H9" s="33" t="str">
        <x:f>IF(COUNT(G9)=0,"미입력",F9-G9)</x:f>
        <x:v>미입력</x:v>
      </x:c>
      <x:c r="I9" s="2" t="str">
        <x:v>D1~25</x:v>
      </x:c>
      <x:c r="J9" s="2" t="str">
        <x:v>문제와 기존 지출 기록</x:v>
      </x:c>
      <x:c r="K9" s="2" t="str">
        <x:v>고객개발</x:v>
      </x:c>
      <x:c r="L9" s="2"/>
      <x:c r="M9" s="2"/>
      <x:c r="N9" s="2"/>
    </x:row>
    <x:row r="10" ht="30" customHeight="1">
      <x:c r="A10" s="2"/>
      <x:c r="B10" s="2"/>
      <x:c r="C10" s="2" t="str">
        <x:v>모집과 스크리닝</x:v>
      </x:c>
      <x:c r="D10" s="22" t="n">
        <x:v>1</x:v>
      </x:c>
      <x:c r="E10" s="22" t="n">
        <x:v>280000</x:v>
      </x:c>
      <x:c r="F10" s="33" t="n">
        <x:f>D10*E10</x:f>
        <x:v>280000</x:v>
      </x:c>
      <x:c r="G10" s="22"/>
      <x:c r="H10" s="33" t="str">
        <x:f>IF(COUNT(G10)=0,"미입력",F10-G10)</x:f>
        <x:v>미입력</x:v>
      </x:c>
      <x:c r="I10" s="2" t="str">
        <x:v>D1~25</x:v>
      </x:c>
      <x:c r="J10" s="2" t="str">
        <x:v>동의와 모집 기록</x:v>
      </x:c>
      <x:c r="K10" s="2" t="str">
        <x:v>고객개발</x:v>
      </x:c>
      <x:c r="L10" s="2"/>
      <x:c r="M10" s="2"/>
      <x:c r="N10" s="2"/>
    </x:row>
    <x:row r="11" ht="30" customHeight="1">
      <x:c r="A11" s="2"/>
      <x:c r="B11" s="2"/>
      <x:c r="C11" s="2" t="str">
        <x:v>경쟁 제품 구매 비교</x:v>
      </x:c>
      <x:c r="D11" s="22" t="n">
        <x:v>1</x:v>
      </x:c>
      <x:c r="E11" s="22" t="n">
        <x:v>600000</x:v>
      </x:c>
      <x:c r="F11" s="33" t="n">
        <x:f>D11*E11</x:f>
        <x:v>600000</x:v>
      </x:c>
      <x:c r="G11" s="22"/>
      <x:c r="H11" s="33" t="str">
        <x:f>IF(COUNT(G11)=0,"미입력",F11-G11)</x:f>
        <x:v>미입력</x:v>
      </x:c>
      <x:c r="I11" s="2" t="str">
        <x:v>D10~30</x:v>
      </x:c>
      <x:c r="J11" s="2" t="str">
        <x:v>동일 과제 비교표</x:v>
      </x:c>
      <x:c r="K11" s="2" t="str">
        <x:v>제품</x:v>
      </x:c>
      <x:c r="L11" s="2"/>
      <x:c r="M11" s="2"/>
      <x:c r="N11" s="2"/>
    </x:row>
    <x:row r="12" ht="30" customHeight="1">
      <x:c r="A12" s="2"/>
      <x:c r="B12" s="2"/>
      <x:c r="C12" s="2" t="str">
        <x:v>비가동 착용 목업</x:v>
      </x:c>
      <x:c r="D12" s="22" t="n">
        <x:v>1</x:v>
      </x:c>
      <x:c r="E12" s="22" t="n">
        <x:v>1200000</x:v>
      </x:c>
      <x:c r="F12" s="33" t="n">
        <x:f>D12*E12</x:f>
        <x:v>1200000</x:v>
      </x:c>
      <x:c r="G12" s="22"/>
      <x:c r="H12" s="33" t="str">
        <x:f>IF(COUNT(G12)=0,"미입력",F12-G12)</x:f>
        <x:v>미입력</x:v>
      </x:c>
      <x:c r="I12" s="2" t="str">
        <x:v>D15~40</x:v>
      </x:c>
      <x:c r="J12" s="2" t="str">
        <x:v>위치와 착탈 사용성</x:v>
      </x:c>
      <x:c r="K12" s="2" t="str">
        <x:v>제품</x:v>
      </x:c>
      <x:c r="L12" s="2"/>
      <x:c r="M12" s="2"/>
      <x:c r="N12" s="2"/>
    </x:row>
    <x:row r="13" ht="30" customHeight="1">
      <x:c r="A13" s="2"/>
      <x:c r="B13" s="2"/>
      <x:c r="C13" s="2" t="str">
        <x:v>가동 시제품과 벤치시험</x:v>
      </x:c>
      <x:c r="D13" s="22" t="n">
        <x:v>1</x:v>
      </x:c>
      <x:c r="E13" s="22" t="n">
        <x:v>1800000</x:v>
      </x:c>
      <x:c r="F13" s="33" t="n">
        <x:f>D13*E13</x:f>
        <x:v>1800000</x:v>
      </x:c>
      <x:c r="G13" s="22"/>
      <x:c r="H13" s="33" t="str">
        <x:f>IF(COUNT(G13)=0,"미입력",F13-G13)</x:f>
        <x:v>미입력</x:v>
      </x:c>
      <x:c r="I13" s="2" t="str">
        <x:v>D25~60</x:v>
      </x:c>
      <x:c r="J13" s="2" t="str">
        <x:v>온도 압력 전력 측정</x:v>
      </x:c>
      <x:c r="K13" s="2" t="str">
        <x:v>엔지니어</x:v>
      </x:c>
      <x:c r="L13" s="2"/>
      <x:c r="M13" s="2"/>
      <x:c r="N13" s="2"/>
    </x:row>
    <x:row r="14" ht="30" customHeight="1">
      <x:c r="A14" s="2"/>
      <x:c r="B14" s="2"/>
      <x:c r="C14" s="2" t="str">
        <x:v>감독하 사용성 관찰</x:v>
      </x:c>
      <x:c r="D14" s="22" t="n">
        <x:v>24</x:v>
      </x:c>
      <x:c r="E14" s="22" t="n">
        <x:v>50000</x:v>
      </x:c>
      <x:c r="F14" s="33" t="n">
        <x:f>D14*E14</x:f>
        <x:v>1200000</x:v>
      </x:c>
      <x:c r="G14" s="22"/>
      <x:c r="H14" s="33" t="str">
        <x:f>IF(COUNT(G14)=0,"미입력",F14-G14)</x:f>
        <x:v>미입력</x:v>
      </x:c>
      <x:c r="I14" s="2" t="str">
        <x:v>D45~80</x:v>
      </x:c>
      <x:c r="J14" s="2" t="str">
        <x:v>착용 완수와 재사용</x:v>
      </x:c>
      <x:c r="K14" s="2" t="str">
        <x:v>제품</x:v>
      </x:c>
      <x:c r="L14" s="2"/>
      <x:c r="M14" s="2"/>
      <x:c r="N14" s="2"/>
    </x:row>
    <x:row r="15" ht="30" customHeight="1">
      <x:c r="A15" s="2"/>
      <x:c r="B15" s="2"/>
      <x:c r="C15" s="2" t="str">
        <x:v>가격과 예약 수요 실험</x:v>
      </x:c>
      <x:c r="D15" s="22" t="n">
        <x:v>1</x:v>
      </x:c>
      <x:c r="E15" s="22" t="n">
        <x:v>1100000</x:v>
      </x:c>
      <x:c r="F15" s="33" t="n">
        <x:f>D15*E15</x:f>
        <x:v>1100000</x:v>
      </x:c>
      <x:c r="G15" s="22"/>
      <x:c r="H15" s="33" t="str">
        <x:f>IF(COUNT(G15)=0,"미입력",F15-G15)</x:f>
        <x:v>미입력</x:v>
      </x:c>
      <x:c r="I15" s="2" t="str">
        <x:v>D45~90</x:v>
      </x:c>
      <x:c r="J15" s="2" t="str">
        <x:v>유효 방문과 예약 취소</x:v>
      </x:c>
      <x:c r="K15" s="2" t="str">
        <x:v>사업관리</x:v>
      </x:c>
      <x:c r="L15" s="2"/>
      <x:c r="M15" s="2"/>
      <x:c r="N15" s="2"/>
    </x:row>
    <x:row r="16" ht="30" customHeight="1">
      <x:c r="A16" s="2"/>
      <x:c r="B16" s="2"/>
      <x:c r="C16" s="2" t="str">
        <x:v>공급사 견적과 IP 검토</x:v>
      </x:c>
      <x:c r="D16" s="22" t="n">
        <x:v>1</x:v>
      </x:c>
      <x:c r="E16" s="22" t="n">
        <x:v>700000</x:v>
      </x:c>
      <x:c r="F16" s="33" t="n">
        <x:f>D16*E16</x:f>
        <x:v>700000</x:v>
      </x:c>
      <x:c r="G16" s="22"/>
      <x:c r="H16" s="33" t="str">
        <x:f>IF(COUNT(G16)=0,"미입력",F16-G16)</x:f>
        <x:v>미입력</x:v>
      </x:c>
      <x:c r="I16" s="2" t="str">
        <x:v>D20~80</x:v>
      </x:c>
      <x:c r="J16" s="2" t="str">
        <x:v>3개 견적 비교 요청</x:v>
      </x:c>
      <x:c r="K16" s="2" t="str">
        <x:v>사업관리</x:v>
      </x:c>
      <x:c r="L16" s="2"/>
      <x:c r="M16" s="2"/>
      <x:c r="N16" s="2"/>
    </x:row>
    <x:row r="17" ht="30" customHeight="1">
      <x:c r="A17" s="2"/>
      <x:c r="B17" s="2"/>
      <x:c r="C17" s="2" t="str">
        <x:v>예비비</x:v>
      </x:c>
      <x:c r="D17" s="22" t="n">
        <x:v>1</x:v>
      </x:c>
      <x:c r="E17" s="22" t="n">
        <x:v>900000</x:v>
      </x:c>
      <x:c r="F17" s="33" t="n">
        <x:f>D17*E17</x:f>
        <x:v>900000</x:v>
      </x:c>
      <x:c r="G17" s="22"/>
      <x:c r="H17" s="33" t="str">
        <x:f>IF(COUNT(G17)=0,"미입력",F17-G17)</x:f>
        <x:v>미입력</x:v>
      </x:c>
      <x:c r="I17" s="2" t="str">
        <x:v>게이트 통과 후</x:v>
      </x:c>
      <x:c r="J17" s="2" t="str">
        <x:v>재실험 예비비</x:v>
      </x:c>
      <x:c r="K17" s="2" t="str">
        <x:v>팀 리드</x:v>
      </x:c>
      <x:c r="L17" s="2"/>
      <x:c r="M17" s="2"/>
      <x:c r="N17" s="2"/>
    </x:row>
    <x:row r="18" ht="30" customHeight="1">
      <x:c r="A18" s="2"/>
      <x:c r="B18" s="2"/>
      <x:c r="C18" s="2"/>
      <x:c r="D18" s="2"/>
      <x:c r="E18" s="2"/>
      <x:c r="F18" s="43"/>
      <x:c r="G18" s="43"/>
      <x:c r="H18" s="43"/>
      <x:c r="I18" s="2"/>
      <x:c r="J18" s="2"/>
      <x:c r="K18" s="2"/>
      <x:c r="L18" s="2"/>
      <x:c r="M18" s="2"/>
      <x:c r="N18" s="2"/>
    </x:row>
    <x:row r="19" ht="30" customHeight="1">
      <x:c r="A19" s="2"/>
      <x:c r="B19" s="2"/>
      <x:c r="C19" s="2" t="str">
        <x:v>합계</x:v>
      </x:c>
      <x:c r="D19" s="2"/>
      <x:c r="E19" s="2"/>
      <x:c r="F19" s="33" t="n">
        <x:f>SUM(F8:F17)</x:f>
        <x:v>10000000</x:v>
      </x:c>
      <x:c r="G19" s="33" t="str">
        <x:f>IF(COUNT(G8:G17)=0,"미입력",SUM(G8:G17))</x:f>
        <x:v>미입력</x:v>
      </x:c>
      <x:c r="H19" s="33" t="str">
        <x:f>IF(COUNT(G8:G17)&lt;10,"일부 또는 전체 미입력",F19-SUM(G8:G17))</x:f>
        <x:v>일부 또는 전체 미입력</x:v>
      </x:c>
      <x:c r="I19" s="2"/>
      <x:c r="J19" s="2"/>
      <x:c r="K19" s="2"/>
      <x:c r="L19" s="2"/>
      <x:c r="M19" s="2"/>
      <x:c r="N19" s="2"/>
    </x:row>
    <x:row r="20" ht="23" customHeight="1">
      <x:c r="A20" s="2"/>
      <x:c r="B20" s="2"/>
      <x:c r="C20" s="2"/>
      <x:c r="D20" s="2"/>
      <x:c r="E20" s="2"/>
      <x:c r="F20" s="2"/>
      <x:c r="G20" s="2"/>
      <x:c r="H20" s="2"/>
      <x:c r="I20" s="2"/>
      <x:c r="J20" s="2"/>
      <x:c r="K20" s="2"/>
      <x:c r="L20" s="2"/>
      <x:c r="M20" s="2"/>
      <x:c r="N20" s="2"/>
    </x:row>
    <x:row r="21" ht="23" customHeight="1">
      <x:c r="A21" s="2"/>
      <x:c r="B21" s="2"/>
      <x:c r="C21" s="2"/>
      <x:c r="D21" s="2"/>
      <x:c r="E21" s="2"/>
      <x:c r="F21" s="2"/>
      <x:c r="G21" s="2"/>
      <x:c r="H21" s="2"/>
      <x:c r="I21" s="2"/>
      <x:c r="J21" s="2"/>
      <x:c r="K21" s="2"/>
      <x:c r="L21" s="2"/>
      <x:c r="M21" s="2"/>
      <x:c r="N21" s="2"/>
    </x:row>
    <x:row r="22" ht="23" customHeight="1">
      <x:c r="A22" s="2"/>
      <x:c r="B22" s="2"/>
      <x:c r="C22" s="2" t="str">
        <x:v>월별 검증비 지출 배분</x:v>
      </x:c>
      <x:c r="D22" s="2"/>
      <x:c r="E22" s="2"/>
      <x:c r="F22" s="2"/>
      <x:c r="G22" s="2"/>
      <x:c r="H22" s="2"/>
      <x:c r="I22" s="2"/>
      <x:c r="J22" s="2" t="str">
        <x:v>M1</x:v>
      </x:c>
      <x:c r="K22" s="2" t="str">
        <x:v>M2</x:v>
      </x:c>
      <x:c r="L22" s="2" t="str">
        <x:v>M3</x:v>
      </x:c>
      <x:c r="M22" s="2" t="str">
        <x:v>M4</x:v>
      </x:c>
      <x:c r="N22" s="2"/>
    </x:row>
    <x:row r="23" ht="23" customHeight="1">
      <x:c r="A23" s="2"/>
      <x:c r="B23" s="2"/>
      <x:c r="C23" s="2"/>
      <x:c r="D23" s="2"/>
      <x:c r="E23" s="2"/>
      <x:c r="F23" s="2"/>
      <x:c r="G23" s="2"/>
      <x:c r="H23" s="2"/>
      <x:c r="I23" s="2"/>
      <x:c r="J23" s="24" t="n">
        <x:v>0.2</x:v>
      </x:c>
      <x:c r="K23" s="24" t="n">
        <x:v>0.3</x:v>
      </x:c>
      <x:c r="L23" s="24" t="n">
        <x:v>0.3</x:v>
      </x:c>
      <x:c r="M23" s="24" t="n">
        <x:v>0.2</x:v>
      </x:c>
      <x:c r="N23" s="2"/>
    </x:row>
    <x:row r="24" ht="23" customHeight="1">
      <x:c r="A24" s="2"/>
      <x:c r="B24" s="2"/>
      <x:c r="C24" s="2"/>
      <x:c r="D24" s="2"/>
      <x:c r="E24" s="2"/>
      <x:c r="F24" s="2"/>
      <x:c r="G24" s="2"/>
      <x:c r="H24" s="2"/>
      <x:c r="I24" s="2"/>
      <x:c r="J24" s="2"/>
      <x:c r="K24" s="2"/>
      <x:c r="L24" s="2"/>
      <x:c r="M24" s="2"/>
      <x:c r="N24" s="2"/>
    </x:row>
    <x:row r="25" ht="23" customHeight="1">
      <x:c r="A25" s="2"/>
      <x:c r="B25" s="2"/>
      <x:c r="C25" s="2"/>
      <x:c r="D25" s="2"/>
      <x:c r="E25" s="2"/>
      <x:c r="F25" s="2"/>
      <x:c r="G25" s="2"/>
      <x:c r="H25" s="2"/>
      <x:c r="I25" s="2"/>
      <x:c r="J25" s="2"/>
      <x:c r="K25" s="2"/>
      <x:c r="L25" s="2"/>
      <x:c r="M25" s="2"/>
      <x:c r="N25" s="2"/>
    </x:row>
    <x:row r="26" ht="23" customHeight="1">
      <x:c r="A26" s="2"/>
      <x:c r="B26" s="2"/>
      <x:c r="C26" s="19" t="str">
        <x:v>다음 투자를 위한 판단 기준</x:v>
      </x:c>
      <x:c r="D26" s="19"/>
      <x:c r="E26" s="19"/>
      <x:c r="F26" s="19"/>
      <x:c r="G26" s="19"/>
      <x:c r="H26" s="19"/>
      <x:c r="I26" s="19"/>
      <x:c r="J26" s="19"/>
      <x:c r="K26" s="19"/>
      <x:c r="L26" s="19"/>
      <x:c r="M26" s="19"/>
      <x:c r="N26" s="19"/>
    </x:row>
    <x:row r="27" ht="23" customHeight="1">
      <x:c r="A27" s="2"/>
      <x:c r="B27" s="2"/>
      <x:c r="C27" s="2"/>
      <x:c r="D27" s="2"/>
      <x:c r="E27" s="2"/>
      <x:c r="F27" s="2"/>
      <x:c r="G27" s="2"/>
      <x:c r="H27" s="2"/>
      <x:c r="I27" s="2"/>
      <x:c r="J27" s="2"/>
      <x:c r="K27" s="2"/>
      <x:c r="L27" s="2"/>
      <x:c r="M27" s="2"/>
      <x:c r="N27" s="2"/>
    </x:row>
    <x:row r="28" ht="30" customHeight="1">
      <x:c r="A28" s="2"/>
      <x:c r="B28" s="2"/>
      <x:c r="C28" s="17" t="str">
        <x:v>단계</x:v>
      </x:c>
      <x:c r="D28" s="17" t="str">
        <x:v>검증 기간</x:v>
      </x:c>
      <x:c r="E28" s="17" t="str">
        <x:v>제안 기준</x:v>
      </x:c>
      <x:c r="F28" s="17" t="str"/>
      <x:c r="G28" s="17" t="str"/>
      <x:c r="H28" s="17" t="str">
        <x:v>현재 상태</x:v>
      </x:c>
      <x:c r="I28" s="17" t="str">
        <x:v>필수 증거</x:v>
      </x:c>
      <x:c r="J28" s="17" t="str"/>
      <x:c r="K28" s="17" t="str"/>
      <x:c r="L28" s="17" t="str"/>
      <x:c r="M28" s="2"/>
      <x:c r="N28" s="2"/>
    </x:row>
    <x:row r="29" ht="46" customHeight="1">
      <x:c r="A29" s="2"/>
      <x:c r="B29" s="2"/>
      <x:c r="C29" s="13" t="str">
        <x:v>G0 범위와 안전</x:v>
      </x:c>
      <x:c r="D29" s="13" t="str">
        <x:v>D1~15</x:v>
      </x:c>
      <x:c r="E29" s="13" t="str">
        <x:v>사용목적 및 시험 범위 서면 검토</x:v>
      </x:c>
      <x:c r="F29" s="13"/>
      <x:c r="G29" s="13"/>
      <x:c r="H29" s="45" t="str">
        <x:v>미확인</x:v>
      </x:c>
      <x:c r="I29" s="13" t="str">
        <x:v>규제 분류 문의와 안전 검토 기록</x:v>
      </x:c>
      <x:c r="J29" s="13"/>
      <x:c r="K29" s="13"/>
      <x:c r="L29" s="13"/>
      <x:c r="M29" s="2"/>
      <x:c r="N29" s="2"/>
    </x:row>
    <x:row r="30" ht="46" customHeight="1">
      <x:c r="A30" s="2"/>
      <x:c r="B30" s="2"/>
      <x:c r="C30" s="13" t="str">
        <x:v>G1 고객 문제</x:v>
      </x:c>
      <x:c r="D30" s="13" t="str">
        <x:v>D1~25</x:v>
      </x:c>
      <x:c r="E30" s="13" t="str">
        <x:v>24명 중 12명 이상 최근 행동 근거</x:v>
      </x:c>
      <x:c r="F30" s="13"/>
      <x:c r="G30" s="13"/>
      <x:c r="H30" s="45" t="str">
        <x:v>미확인</x:v>
      </x:c>
      <x:c r="I30" s="13" t="str">
        <x:v>최근 3개월 경험과 기존 지출</x:v>
      </x:c>
      <x:c r="J30" s="13"/>
      <x:c r="K30" s="13"/>
      <x:c r="L30" s="13"/>
      <x:c r="M30" s="2"/>
      <x:c r="N30" s="2"/>
    </x:row>
    <x:row r="31" ht="46" customHeight="1">
      <x:c r="A31" s="2"/>
      <x:c r="B31" s="2"/>
      <x:c r="C31" s="13" t="str">
        <x:v>G2 사용성</x:v>
      </x:c>
      <x:c r="D31" s="13" t="str">
        <x:v>D25~80</x:v>
      </x:c>
      <x:c r="E31" s="13" t="str">
        <x:v>24명 중 20명 독립 착용 완수</x:v>
      </x:c>
      <x:c r="F31" s="13"/>
      <x:c r="G31" s="13"/>
      <x:c r="H31" s="45" t="str">
        <x:v>미확인</x:v>
      </x:c>
      <x:c r="I31" s="13" t="str">
        <x:v>착용 영상, 오류, 이상반응 기록</x:v>
      </x:c>
      <x:c r="J31" s="13"/>
      <x:c r="K31" s="13"/>
      <x:c r="L31" s="13"/>
      <x:c r="M31" s="2"/>
      <x:c r="N31" s="2"/>
    </x:row>
    <x:row r="32" ht="46" customHeight="1">
      <x:c r="A32" s="2"/>
      <x:c r="B32" s="2"/>
      <x:c r="C32" s="13" t="str">
        <x:v>G3 지불 행동</x:v>
      </x:c>
      <x:c r="D32" s="13" t="str">
        <x:v>D45~90</x:v>
      </x:c>
      <x:c r="E32" s="13" t="str">
        <x:v>3개 가격 각 300 유효 방문</x:v>
      </x:c>
      <x:c r="F32" s="13"/>
      <x:c r="G32" s="13"/>
      <x:c r="H32" s="45" t="str">
        <x:v>미확인</x:v>
      </x:c>
      <x:c r="I32" s="13" t="str">
        <x:v>예약금과 취소를 별도 집계</x:v>
      </x:c>
      <x:c r="J32" s="13"/>
      <x:c r="K32" s="13"/>
      <x:c r="L32" s="13"/>
      <x:c r="M32" s="2"/>
      <x:c r="N32" s="2"/>
    </x:row>
    <x:row r="33" ht="46" customHeight="1">
      <x:c r="A33" s="2"/>
      <x:c r="B33" s="2"/>
      <x:c r="C33" s="13" t="str">
        <x:v>G4 생산 경제성</x:v>
      </x:c>
      <x:c r="D33" s="13" t="str">
        <x:v>D20~90</x:v>
      </x:c>
      <x:c r="E33" s="13" t="str">
        <x:v>견적 3개와 MOQ 현금 계획</x:v>
      </x:c>
      <x:c r="F33" s="13"/>
      <x:c r="G33" s="13"/>
      <x:c r="H33" s="45" t="str">
        <x:v>미확인</x:v>
      </x:c>
      <x:c r="I33" s="13" t="str">
        <x:v>BOM, 리드타임, 수율 조건</x:v>
      </x:c>
      <x:c r="J33" s="13"/>
      <x:c r="K33" s="13"/>
      <x:c r="L33" s="13"/>
      <x:c r="M33" s="2"/>
      <x:c r="N33" s="2"/>
    </x:row>
    <x:row r="34" ht="46" customHeight="1">
      <x:c r="A34" s="2"/>
      <x:c r="B34" s="2"/>
      <x:c r="C34" s="13" t="str">
        <x:v>G5 다음 투자</x:v>
      </x:c>
      <x:c r="D34" s="13" t="str">
        <x:v>D91~100</x:v>
      </x:c>
      <x:c r="E34" s="13" t="str">
        <x:v>G0 통과 후 증거별 소액 집행</x:v>
      </x:c>
      <x:c r="F34" s="13"/>
      <x:c r="G34" s="13"/>
      <x:c r="H34" s="45" t="str">
        <x:v>미확인</x:v>
      </x:c>
      <x:c r="I34" s="13" t="str">
        <x:v>진행 수정 중단 판단서</x:v>
      </x:c>
      <x:c r="J34" s="13"/>
      <x:c r="K34" s="13"/>
      <x:c r="L34" s="13"/>
      <x:c r="M34" s="2"/>
      <x:c r="N34" s="2"/>
    </x:row>
    <x:row r="35" ht="23" customHeight="1">
      <x:c r="A35" s="2"/>
      <x:c r="B35" s="2"/>
      <x:c r="C35" s="2"/>
      <x:c r="D35" s="2"/>
      <x:c r="E35" s="2"/>
      <x:c r="F35" s="2"/>
      <x:c r="G35" s="2"/>
      <x:c r="H35" s="2"/>
      <x:c r="I35" s="2"/>
      <x:c r="J35" s="2"/>
      <x:c r="K35" s="2"/>
      <x:c r="L35" s="2"/>
      <x:c r="M35" s="2"/>
      <x:c r="N35" s="2"/>
    </x:row>
    <x:row r="36" ht="23" customHeight="1">
      <x:c r="A36" s="2"/>
      <x:c r="B36" s="2"/>
      <x:c r="C36" s="2"/>
      <x:c r="D36" s="2"/>
      <x:c r="E36" s="2"/>
      <x:c r="F36" s="2"/>
      <x:c r="G36" s="2"/>
      <x:c r="H36" s="2"/>
      <x:c r="I36" s="2"/>
      <x:c r="J36" s="2"/>
      <x:c r="K36" s="2"/>
      <x:c r="L36" s="2"/>
      <x:c r="M36" s="2"/>
      <x:c r="N36" s="2"/>
    </x:row>
    <x:row r="37" ht="36" customHeight="1">
      <x:c r="A37" s="2"/>
      <x:c r="B37" s="2"/>
      <x:c r="C37" s="13" t="str">
        <x:v>위 수치는 팀이 사전 합의할 운영 기준 제안이며 업계 표준이나 임상 유효성 기준이 아닙니다. G3의 예약금은 판매 매출이나 구매 CAC로 인정하지 않습니다.</x:v>
      </x:c>
      <x:c r="D37" s="13"/>
      <x:c r="E37" s="13"/>
      <x:c r="F37" s="13"/>
      <x:c r="G37" s="13"/>
      <x:c r="H37" s="13"/>
      <x:c r="I37" s="13"/>
      <x:c r="J37" s="13"/>
      <x:c r="K37" s="13"/>
      <x:c r="L37" s="13"/>
      <x:c r="M37" s="13"/>
      <x:c r="N37" s="13"/>
    </x:row>
    <x:row r="38" ht="23" customHeight="1">
      <x:c r="A38" s="2"/>
      <x:c r="B38" s="2"/>
      <x:c r="C38" s="2"/>
      <x:c r="D38" s="2"/>
      <x:c r="E38" s="2"/>
      <x:c r="F38" s="2"/>
      <x:c r="G38" s="2"/>
      <x:c r="H38" s="2"/>
      <x:c r="I38" s="2"/>
      <x:c r="J38" s="2"/>
      <x:c r="K38" s="2"/>
      <x:c r="L38" s="2"/>
      <x:c r="M38" s="2"/>
      <x:c r="N38" s="2"/>
    </x:row>
    <x:row r="39" ht="36" customHeight="1">
      <x:c r="A39" s="2"/>
      <x:c r="B39" s="2"/>
      <x:c r="C39" s="13" t="str">
        <x:v>G2는 안전 검토 후 수행하는 사용성 관찰입니다. 47℃ 등 미검증 조건의 인체 적용을 승인하지 않으며, 효능 시험은 별도 연구 설계와 심의를 검토합니다.</x:v>
      </x:c>
      <x:c r="D39" s="13"/>
      <x:c r="E39" s="13"/>
      <x:c r="F39" s="13"/>
      <x:c r="G39" s="13"/>
      <x:c r="H39" s="13"/>
      <x:c r="I39" s="13"/>
      <x:c r="J39" s="13"/>
      <x:c r="K39" s="13"/>
      <x:c r="L39" s="13"/>
      <x:c r="M39" s="13"/>
      <x:c r="N39" s="13"/>
    </x:row>
    <x:row r="40" ht="23" customHeight="1">
      <x:c r="A40" s="2"/>
      <x:c r="B40" s="2"/>
      <x:c r="C40" s="2"/>
      <x:c r="D40" s="2"/>
      <x:c r="E40" s="2"/>
      <x:c r="F40" s="2"/>
      <x:c r="G40" s="2"/>
      <x:c r="H40" s="2"/>
      <x:c r="I40" s="2"/>
      <x:c r="J40" s="2"/>
      <x:c r="K40" s="2"/>
      <x:c r="L40" s="2"/>
      <x:c r="M40" s="2"/>
      <x:c r="N40" s="2"/>
    </x:row>
    <x:row r="41" ht="23" customHeight="1">
      <x:c r="A41" s="2"/>
      <x:c r="B41" s="2"/>
      <x:c r="C41" s="2"/>
      <x:c r="D41" s="2"/>
      <x:c r="E41" s="2"/>
      <x:c r="F41" s="2"/>
      <x:c r="G41" s="2"/>
      <x:c r="H41" s="2"/>
      <x:c r="I41" s="2"/>
      <x:c r="J41" s="2"/>
      <x:c r="K41" s="2"/>
      <x:c r="L41" s="2"/>
      <x:c r="M41" s="2"/>
      <x:c r="N41" s="2"/>
    </x:row>
    <x:row r="42" ht="23" customHeight="1">
      <x:c r="A42" s="2"/>
      <x:c r="B42" s="2"/>
      <x:c r="C42" s="19" t="str">
        <x:v>원문 게임 예산 산술 정정</x:v>
      </x:c>
      <x:c r="D42" s="19"/>
      <x:c r="E42" s="19"/>
      <x:c r="F42" s="19"/>
      <x:c r="G42" s="19"/>
      <x:c r="H42" s="19"/>
      <x:c r="I42" s="19"/>
      <x:c r="J42" s="19"/>
      <x:c r="K42" s="19"/>
      <x:c r="L42" s="19"/>
      <x:c r="M42" s="19"/>
      <x:c r="N42" s="19"/>
    </x:row>
    <x:row r="43" ht="23" customHeight="1">
      <x:c r="A43" s="2"/>
      <x:c r="B43" s="2"/>
      <x:c r="C43" s="2"/>
      <x:c r="D43" s="2"/>
      <x:c r="E43" s="2"/>
      <x:c r="F43" s="2"/>
      <x:c r="G43" s="2"/>
      <x:c r="H43" s="2"/>
      <x:c r="I43" s="2"/>
      <x:c r="J43" s="2"/>
      <x:c r="K43" s="2"/>
      <x:c r="L43" s="2"/>
      <x:c r="M43" s="2"/>
      <x:c r="N43" s="2"/>
    </x:row>
    <x:row r="44" ht="23" customHeight="1">
      <x:c r="A44" s="2"/>
      <x:c r="B44" s="2"/>
      <x:c r="C44" s="2" t="str">
        <x:v>원문 선택 카드 합계</x:v>
      </x:c>
      <x:c r="D44" s="2" t="str">
        <x:v>원</x:v>
      </x:c>
      <x:c r="E44" s="2"/>
      <x:c r="F44" s="43" t="n">
        <x:v>10400000</x:v>
      </x:c>
      <x:c r="G44" s="2"/>
      <x:c r="H44" s="2"/>
      <x:c r="I44" s="2"/>
      <x:c r="J44" s="2"/>
      <x:c r="K44" s="2"/>
      <x:c r="L44" s="2"/>
      <x:c r="M44" s="2"/>
      <x:c r="N44" s="2"/>
    </x:row>
    <x:row r="45" ht="23" customHeight="1">
      <x:c r="A45" s="2"/>
      <x:c r="B45" s="2"/>
      <x:c r="C45" s="2" t="str">
        <x:v>제외한 경쟁 제품 분석</x:v>
      </x:c>
      <x:c r="D45" s="2" t="str">
        <x:v>원</x:v>
      </x:c>
      <x:c r="E45" s="2"/>
      <x:c r="F45" s="43" t="n">
        <x:v>1000000</x:v>
      </x:c>
      <x:c r="G45" s="2"/>
      <x:c r="H45" s="2"/>
      <x:c r="I45" s="2"/>
      <x:c r="J45" s="2"/>
      <x:c r="K45" s="2"/>
      <x:c r="L45" s="2"/>
      <x:c r="M45" s="2"/>
      <x:c r="N45" s="2"/>
    </x:row>
    <x:row r="46" ht="23" customHeight="1">
      <x:c r="A46" s="2"/>
      <x:c r="B46" s="2"/>
      <x:c r="C46" s="2" t="str">
        <x:v>제외 후 올바른 합계</x:v>
      </x:c>
      <x:c r="D46" s="2" t="str">
        <x:v>원</x:v>
      </x:c>
      <x:c r="E46" s="2"/>
      <x:c r="F46" s="33" t="n">
        <x:f>F44-F45</x:f>
        <x:v>9400000</x:v>
      </x:c>
      <x:c r="G46" s="2"/>
      <x:c r="H46" s="2"/>
      <x:c r="I46" s="2"/>
      <x:c r="J46" s="2"/>
      <x:c r="K46" s="2"/>
      <x:c r="L46" s="2"/>
      <x:c r="M46" s="2"/>
      <x:c r="N46" s="2"/>
    </x:row>
    <x:row r="47" ht="23" customHeight="1">
      <x:c r="A47" s="2"/>
      <x:c r="B47" s="2"/>
      <x:c r="C47" s="2" t="str">
        <x:v>원문 기재 제외 후 합계</x:v>
      </x:c>
      <x:c r="D47" s="2" t="str">
        <x:v>원</x:v>
      </x:c>
      <x:c r="E47" s="2"/>
      <x:c r="F47" s="43" t="n">
        <x:v>9000000</x:v>
      </x:c>
      <x:c r="G47" s="2"/>
      <x:c r="H47" s="2"/>
      <x:c r="I47" s="2"/>
      <x:c r="J47" s="2"/>
      <x:c r="K47" s="2"/>
      <x:c r="L47" s="2"/>
      <x:c r="M47" s="2"/>
      <x:c r="N47" s="2"/>
    </x:row>
    <x:row r="48" ht="23" customHeight="1">
      <x:c r="A48" s="2"/>
      <x:c r="B48" s="2"/>
      <x:c r="C48" s="2" t="str">
        <x:v>기재 차이</x:v>
      </x:c>
      <x:c r="D48" s="2" t="str">
        <x:v>원</x:v>
      </x:c>
      <x:c r="E48" s="2"/>
      <x:c r="F48" s="33" t="n">
        <x:f>F46-F47</x:f>
        <x:v>400000</x:v>
      </x:c>
      <x:c r="G48" s="2"/>
      <x:c r="H48" s="2"/>
      <x:c r="I48" s="2"/>
      <x:c r="J48" s="2"/>
      <x:c r="K48" s="2"/>
      <x:c r="L48" s="2"/>
      <x:c r="M48" s="2"/>
      <x:c r="N48" s="2"/>
    </x:row>
    <x:row r="49" ht="23" customHeight="1">
      <x:c r="A49" s="2"/>
      <x:c r="B49" s="2"/>
      <x:c r="C49" s="2"/>
      <x:c r="D49" s="2"/>
      <x:c r="E49" s="2"/>
      <x:c r="F49" s="2"/>
      <x:c r="G49" s="2"/>
      <x:c r="H49" s="2"/>
      <x:c r="I49" s="2"/>
      <x:c r="J49" s="2"/>
      <x:c r="K49" s="2"/>
      <x:c r="L49" s="2"/>
      <x:c r="M49" s="2"/>
      <x:c r="N49" s="2"/>
    </x:row>
    <x:row r="50" ht="36" customHeight="1">
      <x:c r="A50" s="2"/>
      <x:c r="B50" s="2"/>
      <x:c r="C50" s="13" t="str">
        <x:v>출처 S02. 1,040만원에서 100만원을 제외하면 940만원입니다. 실제 지출 증빙은 없으며 위 새 예산은 사업 특성을 반영한 검증 계획입니다.</x:v>
      </x:c>
      <x:c r="D50" s="13"/>
      <x:c r="E50" s="13"/>
      <x:c r="F50" s="13"/>
      <x:c r="G50" s="13"/>
      <x:c r="H50" s="13"/>
      <x:c r="I50" s="13"/>
      <x:c r="J50" s="13"/>
      <x:c r="K50" s="13"/>
      <x:c r="L50" s="13"/>
      <x:c r="M50" s="13"/>
      <x:c r="N50" s="13"/>
    </x:row>
    <x:row r="51" ht="23" customHeight="1">
      <x:c r="A51" s="2"/>
      <x:c r="B51" s="2"/>
      <x:c r="C51" s="2"/>
      <x:c r="D51" s="2"/>
      <x:c r="E51" s="2"/>
      <x:c r="F51" s="2"/>
      <x:c r="G51" s="2"/>
      <x:c r="H51" s="2"/>
      <x:c r="I51" s="2"/>
      <x:c r="J51" s="2"/>
      <x:c r="K51" s="2"/>
      <x:c r="L51" s="2"/>
      <x:c r="M51" s="2"/>
      <x:c r="N51" s="2"/>
    </x:row>
    <x:row r="52" ht="23" customHeight="1">
      <x:c r="A52" s="2"/>
      <x:c r="B52" s="2"/>
      <x:c r="C52" s="2"/>
      <x:c r="D52" s="2"/>
      <x:c r="E52" s="2"/>
      <x:c r="F52" s="2"/>
      <x:c r="G52" s="2"/>
      <x:c r="H52" s="2"/>
      <x:c r="I52" s="2"/>
      <x:c r="J52" s="2"/>
      <x:c r="K52" s="2"/>
      <x:c r="L52" s="2"/>
      <x:c r="M52" s="2"/>
      <x:c r="N52" s="2"/>
    </x:row>
    <x:row r="53" ht="23" customHeight="1">
      <x:c r="A53" s="2"/>
      <x:c r="B53" s="2"/>
      <x:c r="C53" s="2"/>
      <x:c r="D53" s="2"/>
      <x:c r="E53" s="2"/>
      <x:c r="F53" s="2"/>
      <x:c r="G53" s="2"/>
      <x:c r="H53" s="2"/>
      <x:c r="I53" s="2"/>
      <x:c r="J53" s="2"/>
      <x:c r="K53" s="2"/>
      <x:c r="L53" s="2"/>
      <x:c r="M53" s="2"/>
      <x:c r="N53" s="2"/>
    </x:row>
    <x:row r="54" ht="23" customHeight="1">
      <x:c r="A54" s="2"/>
      <x:c r="B54" s="2"/>
      <x:c r="C54" s="2"/>
      <x:c r="D54" s="2"/>
      <x:c r="E54" s="2"/>
      <x:c r="F54" s="2"/>
      <x:c r="G54" s="2"/>
      <x:c r="H54" s="2"/>
      <x:c r="I54" s="2"/>
      <x:c r="J54" s="2"/>
      <x:c r="K54" s="2"/>
      <x:c r="L54" s="2"/>
      <x:c r="M54" s="2"/>
      <x:c r="N54" s="2"/>
    </x:row>
    <x:row r="55" ht="23" customHeight="1">
      <x:c r="A55" s="2"/>
      <x:c r="B55" s="2"/>
      <x:c r="C55" s="2"/>
      <x:c r="D55" s="2"/>
      <x:c r="E55" s="2"/>
      <x:c r="F55" s="2"/>
      <x:c r="G55" s="2"/>
      <x:c r="H55" s="2"/>
      <x:c r="I55" s="2"/>
      <x:c r="J55" s="2"/>
      <x:c r="K55" s="2"/>
      <x:c r="L55" s="2"/>
      <x:c r="M55" s="2"/>
      <x:c r="N55" s="2"/>
    </x:row>
    <x:row r="56" ht="23" customHeight="1">
      <x:c r="A56" s="2"/>
      <x:c r="B56" s="2"/>
      <x:c r="C56" s="2"/>
      <x:c r="D56" s="2"/>
      <x:c r="E56" s="2"/>
      <x:c r="F56" s="2"/>
      <x:c r="G56" s="2"/>
      <x:c r="H56" s="2"/>
      <x:c r="I56" s="2"/>
      <x:c r="J56" s="2"/>
      <x:c r="K56" s="2"/>
      <x:c r="L56" s="2"/>
      <x:c r="M56" s="2"/>
      <x:c r="N56" s="2"/>
    </x:row>
    <x:row r="57" ht="23" customHeight="1">
      <x:c r="A57" s="2"/>
      <x:c r="B57" s="2"/>
      <x:c r="C57" s="2"/>
      <x:c r="D57" s="2"/>
      <x:c r="E57" s="2"/>
      <x:c r="F57" s="2"/>
      <x:c r="G57" s="2"/>
      <x:c r="H57" s="2"/>
      <x:c r="I57" s="2"/>
      <x:c r="J57" s="2"/>
      <x:c r="K57" s="2"/>
      <x:c r="L57" s="2"/>
      <x:c r="M57" s="2"/>
      <x:c r="N57" s="2"/>
    </x:row>
    <x:row r="58" ht="23" customHeight="1">
      <x:c r="A58" s="2"/>
      <x:c r="B58" s="2"/>
      <x:c r="C58" s="2"/>
      <x:c r="D58" s="2"/>
      <x:c r="E58" s="2"/>
      <x:c r="F58" s="2"/>
      <x:c r="G58" s="2"/>
      <x:c r="H58" s="2"/>
      <x:c r="I58" s="2"/>
      <x:c r="J58" s="2"/>
      <x:c r="K58" s="2"/>
      <x:c r="L58" s="2"/>
      <x:c r="M58" s="2"/>
      <x:c r="N58" s="2"/>
    </x:row>
  </x:sheetData>
  <x:mergeCells>
    <x:mergeCell ref="C5:N5"/>
    <x:mergeCell ref="E28:G28"/>
    <x:mergeCell ref="I28:L28"/>
    <x:mergeCell ref="E29:G29"/>
    <x:mergeCell ref="I29:L29"/>
    <x:mergeCell ref="E30:G30"/>
    <x:mergeCell ref="I30:L30"/>
    <x:mergeCell ref="E31:G31"/>
    <x:mergeCell ref="I31:L31"/>
    <x:mergeCell ref="E32:G32"/>
    <x:mergeCell ref="I32:L32"/>
    <x:mergeCell ref="E33:G33"/>
    <x:mergeCell ref="I33:L33"/>
    <x:mergeCell ref="E34:G34"/>
    <x:mergeCell ref="I34:L34"/>
    <x:mergeCell ref="C37:N37"/>
    <x:mergeCell ref="C39:N39"/>
    <x:mergeCell ref="C50:N50"/>
  </x:mergeCells>
  <x:dataValidations count="6">
    <x:dataValidation type="list" sqref="H29">
      <x:formula1>"미확인,통과,수정,중단"</x:formula1>
    </x:dataValidation>
    <x:dataValidation type="list" sqref="H30">
      <x:formula1>"미확인,통과,수정,중단"</x:formula1>
    </x:dataValidation>
    <x:dataValidation type="list" sqref="H31">
      <x:formula1>"미확인,통과,수정,중단"</x:formula1>
    </x:dataValidation>
    <x:dataValidation type="list" sqref="H32">
      <x:formula1>"미확인,통과,수정,중단"</x:formula1>
    </x:dataValidation>
    <x:dataValidation type="list" sqref="H33">
      <x:formula1>"미확인,통과,수정,중단"</x:formula1>
    </x:dataValidation>
    <x:dataValidation type="list" sqref="H34">
      <x:formula1>"미확인,통과,수정,중단"</x:formula1>
    </x:dataValidation>
  </x:dataValidations>
  <x:pageMargins left="0.7" right="0.7" top="0.75" bottom="0.75" header="0.3" footer="0.3"/>
</x:worksheet>
</file>

<file path=xl/worksheets/sheet7.xml><?xml version="1.0" encoding="utf-8"?>
<x:worksheet xmlns:x="http://schemas.openxmlformats.org/spreadsheetml/2006/main">
  <x:sheetPr>
    <x:tabColor rgb="FFBCC8D3"/>
  </x:sheetPr>
  <x:sheetViews>
    <x:sheetView showGridLines="0" workbookViewId="0">
      <x:pane ySplit="7" topLeftCell="A8" activePane="bottomLeft" state="frozen"/>
    </x:sheetView>
  </x:sheetViews>
  <x:sheetFormatPr defaultRowHeight="15"/>
  <x:cols>
    <x:col min="1" max="1" width="2.200000047683716" hidden="0" customWidth="1"/>
    <x:col min="2" max="2" width="2.200000047683716" hidden="0" customWidth="1"/>
    <x:col min="3" max="3" width="26" hidden="0" customWidth="1"/>
    <x:col min="4" max="4" width="20" hidden="0" customWidth="1"/>
    <x:col min="5" max="5" width="28" hidden="0" customWidth="1"/>
    <x:col min="6" max="6" width="12" hidden="0" customWidth="1"/>
    <x:col min="7" max="7" width="14" hidden="0" customWidth="1"/>
    <x:col min="8" max="8" width="25" hidden="0" customWidth="1"/>
    <x:col min="9" max="9" width="38" hidden="0" customWidth="1"/>
    <x:col min="10" max="10" width="12" hidden="0" customWidth="1"/>
    <x:col min="11" max="11" width="22" hidden="0" customWidth="1"/>
    <x:col min="12" max="12" width="22" hidden="0" customWidth="1"/>
  </x:cols>
  <x:sheetData>
    <x:row r="1" ht="23" customHeight="1">
      <x:c r="A1" s="2"/>
      <x:c r="B1" s="2"/>
      <x:c r="C1" s="2"/>
      <x:c r="D1" s="2"/>
      <x:c r="E1" s="2"/>
      <x:c r="F1" s="2"/>
      <x:c r="G1" s="2"/>
      <x:c r="H1" s="2"/>
      <x:c r="I1" s="2"/>
      <x:c r="J1" s="2"/>
      <x:c r="K1" s="2"/>
      <x:c r="L1" s="2"/>
      <x:c r="M1" s="2"/>
      <x:c r="N1" s="2"/>
    </x:row>
    <x:row r="2" ht="35" customHeight="1">
      <x:c r="A2" s="2"/>
      <x:c r="B2" s="2"/>
      <x:c r="C2" s="3" t="str">
        <x:v>고객의 대안과 확보 가능한 시장</x:v>
      </x:c>
      <x:c r="D2" s="2"/>
      <x:c r="E2" s="2"/>
      <x:c r="F2" s="2"/>
      <x:c r="G2" s="2"/>
      <x:c r="H2" s="2"/>
      <x:c r="I2" s="2"/>
      <x:c r="J2" s="2"/>
      <x:c r="K2" s="2"/>
      <x:c r="L2" s="2"/>
      <x:c r="M2" s="2"/>
      <x:c r="N2" s="2"/>
    </x:row>
    <x:row r="3" ht="23" customHeight="1">
      <x:c r="A3" s="2"/>
      <x:c r="B3" s="2"/>
      <x:c r="C3" s="2"/>
      <x:c r="D3" s="2"/>
      <x:c r="E3" s="2"/>
      <x:c r="F3" s="2"/>
      <x:c r="G3" s="2"/>
      <x:c r="H3" s="2"/>
      <x:c r="I3" s="2"/>
      <x:c r="J3" s="2"/>
      <x:c r="K3" s="2"/>
      <x:c r="L3" s="2"/>
      <x:c r="M3" s="2"/>
      <x:c r="N3" s="2"/>
    </x:row>
    <x:row r="4" ht="23" customHeight="1">
      <x:c r="A4" s="2"/>
      <x:c r="B4" s="2"/>
      <x:c r="C4" s="2" t="str">
        <x:v>선택 시나리오</x:v>
      </x:c>
      <x:c r="D4" s="2"/>
      <x:c r="E4" s="2"/>
      <x:c r="F4" s="51" t="str">
        <x:f>'01_가정'!H4</x:f>
        <x:v>기준</x:v>
      </x:c>
      <x:c r="G4" s="2"/>
      <x:c r="H4" s="2"/>
      <x:c r="I4" s="2"/>
      <x:c r="J4" s="2"/>
      <x:c r="K4" s="2"/>
      <x:c r="L4" s="2"/>
      <x:c r="M4" s="2"/>
      <x:c r="N4" s="2"/>
    </x:row>
    <x:row r="5" ht="36" customHeight="1">
      <x:c r="A5" s="2"/>
      <x:c r="B5" s="2"/>
      <x:c r="C5" s="13" t="str">
        <x:v>생리통 대안과 마사지 대안을 분리합니다. 동일 구조 미발견은 경쟁 부재나 특허 확보의 증거가 아닙니다. 가격 조회일 2026년 10월 26일.</x:v>
      </x:c>
      <x:c r="D5" s="13"/>
      <x:c r="E5" s="13"/>
      <x:c r="F5" s="13"/>
      <x:c r="G5" s="13"/>
      <x:c r="H5" s="13"/>
      <x:c r="I5" s="13"/>
      <x:c r="J5" s="13"/>
      <x:c r="K5" s="13"/>
      <x:c r="L5" s="13"/>
      <x:c r="M5" s="13"/>
      <x:c r="N5" s="13"/>
    </x:row>
    <x:row r="6" ht="23" customHeight="1">
      <x:c r="A6" s="2"/>
      <x:c r="B6" s="2"/>
      <x:c r="C6" s="2"/>
      <x:c r="D6" s="2"/>
      <x:c r="E6" s="2"/>
      <x:c r="F6" s="2"/>
      <x:c r="G6" s="2"/>
      <x:c r="H6" s="2"/>
      <x:c r="I6" s="2"/>
      <x:c r="J6" s="2"/>
      <x:c r="K6" s="2"/>
      <x:c r="L6" s="2"/>
      <x:c r="M6" s="2"/>
      <x:c r="N6" s="2"/>
    </x:row>
    <x:row r="7" ht="30" customHeight="1">
      <x:c r="A7" s="2"/>
      <x:c r="B7" s="2"/>
      <x:c r="C7" s="17" t="str">
        <x:v>기업 제품</x:v>
      </x:c>
      <x:c r="D7" s="17" t="str">
        <x:v>경쟁 관계</x:v>
      </x:c>
      <x:c r="E7" s="17" t="str">
        <x:v>기술 또는 구성</x:v>
      </x:c>
      <x:c r="F7" s="17" t="str">
        <x:v>통화</x:v>
      </x:c>
      <x:c r="G7" s="17" t="str">
        <x:v>표시가</x:v>
      </x:c>
      <x:c r="H7" s="17" t="str">
        <x:v>반복 매출</x:v>
      </x:c>
      <x:c r="I7" s="17" t="str">
        <x:v>해석</x:v>
      </x:c>
      <x:c r="J7" s="17" t="str">
        <x:v>출처</x:v>
      </x:c>
      <x:c r="K7" s="2"/>
      <x:c r="L7" s="2"/>
      <x:c r="M7" s="2"/>
      <x:c r="N7" s="2"/>
    </x:row>
    <x:row r="8" ht="72" customHeight="1">
      <x:c r="A8" s="2"/>
      <x:c r="B8" s="2"/>
      <x:c r="C8" s="13" t="str">
        <x:v>Myoovi 2.0</x:v>
      </x:c>
      <x:c r="D8" s="13" t="str">
        <x:v>고객 문제 대안</x:v>
      </x:c>
      <x:c r="E8" s="13" t="str">
        <x:v>복부 TENS와 온열</x:v>
      </x:c>
      <x:c r="F8" s="13" t="str">
        <x:v>GBP</x:v>
      </x:c>
      <x:c r="G8" s="46" t="n">
        <x:v>79.99</x:v>
      </x:c>
      <x:c r="H8" s="13" t="str">
        <x:v>교체 패드 £13.50</x:v>
      </x:c>
      <x:c r="I8" s="13" t="str">
        <x:v>지압 대비 편의와 체감 가치를 비교</x:v>
      </x:c>
      <x:c r="J8" s="13" t="str">
        <x:v>W01</x:v>
      </x:c>
      <x:c r="K8" s="2"/>
      <x:c r="L8" s="2"/>
      <x:c r="M8" s="2"/>
      <x:c r="N8" s="2"/>
    </x:row>
    <x:row r="9" ht="72" customHeight="1">
      <x:c r="A9" s="2"/>
      <x:c r="B9" s="2"/>
      <x:c r="C9" s="13" t="str">
        <x:v>Livia Kit</x:v>
      </x:c>
      <x:c r="D9" s="13" t="str">
        <x:v>고객 문제 대안</x:v>
      </x:c>
      <x:c r="E9" s="13" t="str">
        <x:v>착용형 전기자극과 젤패드</x:v>
      </x:c>
      <x:c r="F9" s="13" t="str">
        <x:v>USD</x:v>
      </x:c>
      <x:c r="G9" s="46" t="n">
        <x:v>129</x:v>
      </x:c>
      <x:c r="H9" s="13" t="str">
        <x:v>$29 + 월 $8 옵션</x:v>
      </x:c>
      <x:c r="I9" s="13" t="str">
        <x:v>기기와 소모품 모델은 이미 존재</x:v>
      </x:c>
      <x:c r="J9" s="13" t="str">
        <x:v>W02</x:v>
      </x:c>
      <x:c r="K9" s="2"/>
      <x:c r="L9" s="2"/>
      <x:c r="M9" s="2"/>
      <x:c r="N9" s="2"/>
    </x:row>
    <x:row r="10" ht="72" customHeight="1">
      <x:c r="A10" s="2"/>
      <x:c r="B10" s="2"/>
      <x:c r="C10" s="13" t="str">
        <x:v>Beurer EM50</x:v>
      </x:c>
      <x:c r="D10" s="13" t="str">
        <x:v>고객 문제 대안</x:v>
      </x:c>
      <x:c r="E10" s="13" t="str">
        <x:v>복부 TENS와 43℃ 온열</x:v>
      </x:c>
      <x:c r="F10" s="13" t="str">
        <x:v>미확인</x:v>
      </x:c>
      <x:c r="G10" s="46"/>
      <x:c r="H10" s="13" t="str">
        <x:v>교체 젤패드</x:v>
      </x:c>
      <x:c r="I10" s="13" t="str">
        <x:v>결합 기능만으로 차별화 어려움</x:v>
      </x:c>
      <x:c r="J10" s="13" t="str">
        <x:v>W03</x:v>
      </x:c>
      <x:c r="K10" s="2"/>
      <x:c r="L10" s="2"/>
      <x:c r="M10" s="2"/>
      <x:c r="N10" s="2"/>
    </x:row>
    <x:row r="11" ht="72" customHeight="1">
      <x:c r="A11" s="2"/>
      <x:c r="B11" s="2"/>
      <x:c r="C11" s="13" t="str">
        <x:v>칼라세븐 우먼스트레스프리</x:v>
      </x:c>
      <x:c r="D11" s="13" t="str">
        <x:v>국내 치료 대안</x:v>
      </x:c>
      <x:c r="E11" s="13" t="str">
        <x:v>생리통용 광 기반 기기</x:v>
      </x:c>
      <x:c r="F11" s="13" t="str">
        <x:v>미확인</x:v>
      </x:c>
      <x:c r="G11" s="46"/>
      <x:c r="H11" s="13" t="str">
        <x:v>확인 필요</x:v>
      </x:c>
      <x:c r="I11" s="13" t="str">
        <x:v>기업 제품 소개. 허가 범위 원문 확인 필요</x:v>
      </x:c>
      <x:c r="J11" s="13" t="str">
        <x:v>W04</x:v>
      </x:c>
      <x:c r="K11" s="2"/>
      <x:c r="L11" s="2"/>
      <x:c r="M11" s="2"/>
      <x:c r="N11" s="2"/>
    </x:row>
    <x:row r="12" ht="72" customHeight="1">
      <x:c r="A12" s="2"/>
      <x:c r="B12" s="2"/>
      <x:c r="C12" s="13" t="str">
        <x:v>ThermaCare Menstrual</x:v>
      </x:c>
      <x:c r="D12" s="13" t="str">
        <x:v>저비용 사용 대안</x:v>
      </x:c>
      <x:c r="E12" s="13" t="str">
        <x:v>의복 부착형 일회용 온열</x:v>
      </x:c>
      <x:c r="F12" s="13" t="str">
        <x:v>미확인</x:v>
      </x:c>
      <x:c r="G12" s="46"/>
      <x:c r="H12" s="13" t="str">
        <x:v>일회용 교체</x:v>
      </x:c>
      <x:c r="I12" s="13" t="str">
        <x:v>8시간 온열 표방. 사용 장면 비교</x:v>
      </x:c>
      <x:c r="J12" s="13" t="str">
        <x:v>W05</x:v>
      </x:c>
      <x:c r="K12" s="2"/>
      <x:c r="L12" s="2"/>
      <x:c r="M12" s="2"/>
      <x:c r="N12" s="2"/>
    </x:row>
    <x:row r="13" ht="72" customHeight="1">
      <x:c r="A13" s="2"/>
      <x:c r="B13" s="2"/>
      <x:c r="C13" s="13" t="str">
        <x:v>풀리오 종아리 V3</x:v>
      </x:c>
      <x:c r="D13" s="13" t="str">
        <x:v>마사지 예산 경쟁</x:v>
      </x:c>
      <x:c r="E13" s="13" t="str">
        <x:v>3중 에어셀 공기압</x:v>
      </x:c>
      <x:c r="F13" s="13" t="str">
        <x:v>KRW</x:v>
      </x:c>
      <x:c r="G13" s="46" t="n">
        <x:v>159000</x:v>
      </x:c>
      <x:c r="H13" s="13" t="str">
        <x:v>주로 본체 판매</x:v>
      </x:c>
      <x:c r="I13" s="13" t="str">
        <x:v>종아리 마사지와 발목 필요성 비교</x:v>
      </x:c>
      <x:c r="J13" s="13" t="str">
        <x:v>W06</x:v>
      </x:c>
      <x:c r="K13" s="2"/>
      <x:c r="L13" s="2"/>
      <x:c r="M13" s="2"/>
      <x:c r="N13" s="2"/>
    </x:row>
    <x:row r="14" ht="72" customHeight="1">
      <x:c r="A14" s="2"/>
      <x:c r="B14" s="2"/>
      <x:c r="C14" s="13" t="str">
        <x:v>클럭 미니 마사지기S</x:v>
      </x:c>
      <x:c r="D14" s="13" t="str">
        <x:v>마사지 예산 경쟁</x:v>
      </x:c>
      <x:c r="E14" s="13" t="str">
        <x:v>부착형 마사지기와 패드</x:v>
      </x:c>
      <x:c r="F14" s="13" t="str">
        <x:v>KRW</x:v>
      </x:c>
      <x:c r="G14" s="46" t="n">
        <x:v>59900</x:v>
      </x:c>
      <x:c r="H14" s="13" t="str">
        <x:v>교체 패드</x:v>
      </x:c>
      <x:c r="I14" s="13" t="str">
        <x:v>작고 싼 대안 대비 차별화 확인</x:v>
      </x:c>
      <x:c r="J14" s="13" t="str">
        <x:v>W07</x:v>
      </x:c>
      <x:c r="K14" s="2"/>
      <x:c r="L14" s="2"/>
      <x:c r="M14" s="2"/>
      <x:c r="N14" s="2"/>
    </x:row>
    <x:row r="15" ht="72" customHeight="1">
      <x:c r="A15" s="2"/>
      <x:c r="B15" s="2"/>
      <x:c r="C15" s="13" t="str">
        <x:v>Sea Band</x:v>
      </x:c>
      <x:c r="D15" s="13" t="str">
        <x:v>기계식 구조 참고</x:v>
      </x:c>
      <x:c r="E15" s="13" t="str">
        <x:v>손목 압박 돌기 밴드</x:v>
      </x:c>
      <x:c r="F15" s="13" t="str">
        <x:v>미확인</x:v>
      </x:c>
      <x:c r="G15" s="46"/>
      <x:c r="H15" s="13" t="str">
        <x:v>재사용 구조</x:v>
      </x:c>
      <x:c r="I15" s="13" t="str">
        <x:v>오심용 제품. 생리 효능 근거 아님</x:v>
      </x:c>
      <x:c r="J15" s="13" t="str">
        <x:v>W08</x:v>
      </x:c>
      <x:c r="K15" s="2"/>
      <x:c r="L15" s="2"/>
      <x:c r="M15" s="2"/>
      <x:c r="N15" s="2"/>
    </x:row>
    <x:row r="16" ht="72" customHeight="1">
      <x:c r="A16" s="2"/>
      <x:c r="B16" s="2"/>
      <x:c r="C16" s="13" t="str">
        <x:v>Ovira Noha</x:v>
      </x:c>
      <x:c r="D16" s="13" t="str">
        <x:v>과거 비교 대상</x:v>
      </x:c>
      <x:c r="E16" s="13" t="str">
        <x:v>과거 TENS 제품</x:v>
      </x:c>
      <x:c r="F16" s="13" t="str">
        <x:v>미확인</x:v>
      </x:c>
      <x:c r="G16" s="46"/>
      <x:c r="H16" s="13" t="str">
        <x:v>현재 판매 확인 불충분</x:v>
      </x:c>
      <x:c r="I16" s="13" t="str">
        <x:v>현재 공식 홈은 보충제 중심. 가격 제외</x:v>
      </x:c>
      <x:c r="J16" s="13" t="str">
        <x:v>W09</x:v>
      </x:c>
      <x:c r="K16" s="2"/>
      <x:c r="L16" s="2"/>
      <x:c r="M16" s="2"/>
      <x:c r="N16" s="2"/>
    </x:row>
    <x:row r="17" ht="23" customHeight="1">
      <x:c r="A17" s="2"/>
      <x:c r="B17" s="2"/>
      <x:c r="C17" s="2"/>
      <x:c r="D17" s="2"/>
      <x:c r="E17" s="2"/>
      <x:c r="F17" s="2"/>
      <x:c r="G17" s="2"/>
      <x:c r="H17" s="2"/>
      <x:c r="I17" s="2"/>
      <x:c r="J17" s="2"/>
      <x:c r="K17" s="2"/>
      <x:c r="L17" s="2"/>
      <x:c r="M17" s="2"/>
      <x:c r="N17" s="2"/>
    </x:row>
    <x:row r="18" ht="23" customHeight="1">
      <x:c r="A18" s="2"/>
      <x:c r="B18" s="2"/>
      <x:c r="C18" s="2"/>
      <x:c r="D18" s="2"/>
      <x:c r="E18" s="2"/>
      <x:c r="F18" s="2"/>
      <x:c r="G18" s="2"/>
      <x:c r="H18" s="2"/>
      <x:c r="I18" s="2"/>
      <x:c r="J18" s="2"/>
      <x:c r="K18" s="2"/>
      <x:c r="L18" s="2"/>
      <x:c r="M18" s="2"/>
      <x:c r="N18" s="2"/>
    </x:row>
    <x:row r="19" ht="36" customHeight="1">
      <x:c r="A19" s="2"/>
      <x:c r="B19" s="2"/>
      <x:c r="C19" s="13" t="str">
        <x:v>외화 가격은 해당 국가 표시가격입니다. 세금 배송 구성 할인 조건을 통일하지 않았으므로 원화 적정가격으로 환산하지 않습니다. 판매사 효능 문구는 독립 검증 사실이 아닙니다.</x:v>
      </x:c>
      <x:c r="D19" s="13"/>
      <x:c r="E19" s="13"/>
      <x:c r="F19" s="13"/>
      <x:c r="G19" s="13"/>
      <x:c r="H19" s="13"/>
      <x:c r="I19" s="13"/>
      <x:c r="J19" s="13"/>
      <x:c r="K19" s="2"/>
      <x:c r="L19" s="2"/>
      <x:c r="M19" s="2"/>
      <x:c r="N19" s="2"/>
    </x:row>
    <x:row r="20" ht="23" customHeight="1">
      <x:c r="A20" s="2"/>
      <x:c r="B20" s="2"/>
      <x:c r="C20" s="2"/>
      <x:c r="D20" s="2"/>
      <x:c r="E20" s="2"/>
      <x:c r="F20" s="2"/>
      <x:c r="G20" s="2"/>
      <x:c r="H20" s="2"/>
      <x:c r="I20" s="2"/>
      <x:c r="J20" s="2"/>
      <x:c r="K20" s="2"/>
      <x:c r="L20" s="2"/>
      <x:c r="M20" s="2"/>
      <x:c r="N20" s="2"/>
    </x:row>
    <x:row r="21" ht="23" customHeight="1">
      <x:c r="A21" s="2"/>
      <x:c r="B21" s="2"/>
      <x:c r="C21" s="2"/>
      <x:c r="D21" s="2"/>
      <x:c r="E21" s="2"/>
      <x:c r="F21" s="2"/>
      <x:c r="G21" s="2"/>
      <x:c r="H21" s="2"/>
      <x:c r="I21" s="2"/>
      <x:c r="J21" s="2"/>
      <x:c r="K21" s="2"/>
      <x:c r="L21" s="2"/>
      <x:c r="M21" s="2"/>
      <x:c r="N21" s="2"/>
    </x:row>
    <x:row r="22" ht="23" customHeight="1">
      <x:c r="A22" s="2"/>
      <x:c r="B22" s="2"/>
      <x:c r="C22" s="19" t="str">
        <x:v>시장 규모는 아래 가정의 조건부 결과</x:v>
      </x:c>
      <x:c r="D22" s="19"/>
      <x:c r="E22" s="19"/>
      <x:c r="F22" s="19"/>
      <x:c r="G22" s="19"/>
      <x:c r="H22" s="19"/>
      <x:c r="I22" s="19"/>
      <x:c r="J22" s="19"/>
      <x:c r="K22" s="2"/>
      <x:c r="L22" s="2"/>
      <x:c r="M22" s="2"/>
      <x:c r="N22" s="2"/>
    </x:row>
    <x:row r="23" ht="23" customHeight="1">
      <x:c r="A23" s="2"/>
      <x:c r="B23" s="2"/>
      <x:c r="C23" s="2"/>
      <x:c r="D23" s="2"/>
      <x:c r="E23" s="2"/>
      <x:c r="F23" s="2"/>
      <x:c r="G23" s="2"/>
      <x:c r="H23" s="2"/>
      <x:c r="I23" s="2"/>
      <x:c r="J23" s="2"/>
      <x:c r="K23" s="2"/>
      <x:c r="L23" s="2"/>
      <x:c r="M23" s="2"/>
      <x:c r="N23" s="2"/>
    </x:row>
    <x:row r="24" ht="23" customHeight="1">
      <x:c r="A24" s="2"/>
      <x:c r="B24" s="2"/>
      <x:c r="C24" s="2" t="str">
        <x:v>잠재 적합고객 모수</x:v>
      </x:c>
      <x:c r="D24" s="2" t="str">
        <x:v>명</x:v>
      </x:c>
      <x:c r="E24" s="2"/>
      <x:c r="F24" s="31" t="n">
        <x:f>'01_가정'!$F$110</x:f>
        <x:v>1000000</x:v>
      </x:c>
      <x:c r="G24" s="2"/>
      <x:c r="H24" s="2"/>
      <x:c r="I24" s="2"/>
      <x:c r="J24" s="2"/>
      <x:c r="K24" s="2"/>
      <x:c r="L24" s="2"/>
      <x:c r="M24" s="2"/>
      <x:c r="N24" s="2"/>
    </x:row>
    <x:row r="25" ht="23" customHeight="1">
      <x:c r="A25" s="2"/>
      <x:c r="B25" s="2"/>
      <x:c r="C25" s="2" t="str">
        <x:v>문제와 사용 상황 적합률</x:v>
      </x:c>
      <x:c r="D25" s="2" t="str">
        <x:v>%</x:v>
      </x:c>
      <x:c r="E25" s="2"/>
      <x:c r="F25" s="32" t="n">
        <x:f>'01_가정'!$F$111</x:f>
        <x:v>0.2</x:v>
      </x:c>
      <x:c r="G25" s="2"/>
      <x:c r="H25" s="2"/>
      <x:c r="I25" s="2"/>
      <x:c r="J25" s="2"/>
      <x:c r="K25" s="2"/>
      <x:c r="L25" s="2"/>
      <x:c r="M25" s="2"/>
      <x:c r="N25" s="2"/>
    </x:row>
    <x:row r="26" ht="23" customHeight="1">
      <x:c r="A26" s="2"/>
      <x:c r="B26" s="2"/>
      <x:c r="C26" s="2" t="str">
        <x:v>적합군의 유료 수용률</x:v>
      </x:c>
      <x:c r="D26" s="2" t="str">
        <x:v>%</x:v>
      </x:c>
      <x:c r="E26" s="2"/>
      <x:c r="F26" s="32" t="n">
        <x:f>'01_가정'!$F$112</x:f>
        <x:v>0.3</x:v>
      </x:c>
      <x:c r="G26" s="2"/>
      <x:c r="H26" s="2"/>
      <x:c r="I26" s="2"/>
      <x:c r="J26" s="2"/>
      <x:c r="K26" s="2"/>
      <x:c r="L26" s="2"/>
      <x:c r="M26" s="2"/>
      <x:c r="N26" s="2"/>
    </x:row>
    <x:row r="27" ht="23" customHeight="1">
      <x:c r="A27" s="2"/>
      <x:c r="B27" s="2"/>
      <x:c r="C27" s="2" t="str">
        <x:v>조건부 서비스 가능 고객</x:v>
      </x:c>
      <x:c r="D27" s="2" t="str">
        <x:v>명</x:v>
      </x:c>
      <x:c r="E27" s="2"/>
      <x:c r="F27" s="33" t="n">
        <x:f>F24*F25*F26</x:f>
        <x:v>60000</x:v>
      </x:c>
      <x:c r="G27" s="2"/>
      <x:c r="H27" s="2"/>
      <x:c r="I27" s="2"/>
      <x:c r="J27" s="2"/>
      <x:c r="K27" s="2"/>
      <x:c r="L27" s="2"/>
      <x:c r="M27" s="2"/>
      <x:c r="N27" s="2"/>
    </x:row>
    <x:row r="28" ht="23" customHeight="1">
      <x:c r="A28" s="2"/>
      <x:c r="B28" s="2"/>
      <x:c r="C28" s="2" t="str">
        <x:v>본체 실결제가</x:v>
      </x:c>
      <x:c r="D28" s="2" t="str">
        <x:v>원</x:v>
      </x:c>
      <x:c r="E28" s="2"/>
      <x:c r="F28" s="31" t="n">
        <x:f>'01_가정'!F10</x:f>
        <x:v>149000</x:v>
      </x:c>
      <x:c r="G28" s="2"/>
      <x:c r="H28" s="2"/>
      <x:c r="I28" s="2"/>
      <x:c r="J28" s="2"/>
      <x:c r="K28" s="2"/>
      <x:c r="L28" s="2"/>
      <x:c r="M28" s="2"/>
      <x:c r="N28" s="2"/>
    </x:row>
    <x:row r="29" ht="23" customHeight="1">
      <x:c r="A29" s="2"/>
      <x:c r="B29" s="2"/>
      <x:c r="C29" s="2" t="str">
        <x:v>조건부 일회 구매 잠재 GMV</x:v>
      </x:c>
      <x:c r="D29" s="2" t="str">
        <x:v>원</x:v>
      </x:c>
      <x:c r="E29" s="2"/>
      <x:c r="F29" s="33" t="n">
        <x:f>F27*F28</x:f>
        <x:v>8940000000</x:v>
      </x:c>
      <x:c r="G29" s="2"/>
      <x:c r="H29" s="2"/>
      <x:c r="I29" s="2"/>
      <x:c r="J29" s="2"/>
      <x:c r="K29" s="2"/>
      <x:c r="L29" s="2"/>
      <x:c r="M29" s="2"/>
      <x:c r="N29" s="2"/>
    </x:row>
    <x:row r="30" ht="23" customHeight="1">
      <x:c r="A30" s="2"/>
      <x:c r="B30" s="2"/>
      <x:c r="C30" s="2" t="str">
        <x:v>연간 신규 도입률</x:v>
      </x:c>
      <x:c r="D30" s="2" t="str">
        <x:v>%</x:v>
      </x:c>
      <x:c r="E30" s="2"/>
      <x:c r="F30" s="32" t="n">
        <x:f>'01_가정'!$F$113</x:f>
        <x:v>0.1</x:v>
      </x:c>
      <x:c r="G30" s="2"/>
      <x:c r="H30" s="2"/>
      <x:c r="I30" s="2"/>
      <x:c r="J30" s="2"/>
      <x:c r="K30" s="2"/>
      <x:c r="L30" s="2"/>
      <x:c r="M30" s="2"/>
      <x:c r="N30" s="2"/>
    </x:row>
    <x:row r="31" ht="23" customHeight="1">
      <x:c r="A31" s="2"/>
      <x:c r="B31" s="2"/>
      <x:c r="C31" s="2" t="str">
        <x:v>연간 도입 GMV 참고</x:v>
      </x:c>
      <x:c r="D31" s="2" t="str">
        <x:v>원</x:v>
      </x:c>
      <x:c r="E31" s="2"/>
      <x:c r="F31" s="33" t="n">
        <x:f>F29*F30</x:f>
        <x:v>894000000</x:v>
      </x:c>
      <x:c r="G31" s="2"/>
      <x:c r="H31" s="2"/>
      <x:c r="I31" s="2"/>
      <x:c r="J31" s="2"/>
      <x:c r="K31" s="2"/>
      <x:c r="L31" s="2"/>
      <x:c r="M31" s="2"/>
      <x:c r="N31" s="2"/>
    </x:row>
    <x:row r="32" ht="23" customHeight="1">
      <x:c r="A32" s="2"/>
      <x:c r="B32" s="2"/>
      <x:c r="C32" s="2"/>
      <x:c r="D32" s="2"/>
      <x:c r="E32" s="2"/>
      <x:c r="F32" s="2"/>
      <x:c r="G32" s="2"/>
      <x:c r="H32" s="2"/>
      <x:c r="I32" s="2"/>
      <x:c r="J32" s="2"/>
      <x:c r="K32" s="2"/>
      <x:c r="L32" s="2"/>
      <x:c r="M32" s="2"/>
      <x:c r="N32" s="2"/>
    </x:row>
    <x:row r="33" ht="23" customHeight="1">
      <x:c r="A33" s="2"/>
      <x:c r="B33" s="2"/>
      <x:c r="C33" s="2" t="str">
        <x:v>Y1 DTC 확보 목표 가정</x:v>
      </x:c>
      <x:c r="D33" s="2" t="str">
        <x:v>개</x:v>
      </x:c>
      <x:c r="E33" s="2"/>
      <x:c r="F33" s="31" t="n">
        <x:f>'03_월별손익'!F17</x:f>
        <x:v>418</x:v>
      </x:c>
      <x:c r="G33" s="2"/>
      <x:c r="H33" s="2"/>
      <x:c r="I33" s="2"/>
      <x:c r="J33" s="2"/>
      <x:c r="K33" s="2"/>
      <x:c r="L33" s="2"/>
      <x:c r="M33" s="2"/>
      <x:c r="N33" s="2"/>
    </x:row>
    <x:row r="34" ht="23" customHeight="1">
      <x:c r="A34" s="2"/>
      <x:c r="B34" s="2"/>
      <x:c r="C34" s="2" t="str">
        <x:v>Y1 비환불 DTC 고객</x:v>
      </x:c>
      <x:c r="D34" s="2" t="str">
        <x:v>명</x:v>
      </x:c>
      <x:c r="E34" s="2"/>
      <x:c r="F34" s="31" t="n">
        <x:f>'03_월별손익'!F21</x:f>
        <x:v>384.55999999999995</x:v>
      </x:c>
      <x:c r="G34" s="2"/>
      <x:c r="H34" s="2"/>
      <x:c r="I34" s="2"/>
      <x:c r="J34" s="2"/>
      <x:c r="K34" s="2"/>
      <x:c r="L34" s="2"/>
      <x:c r="M34" s="2"/>
      <x:c r="N34" s="2"/>
    </x:row>
    <x:row r="35" ht="23" customHeight="1">
      <x:c r="A35" s="2"/>
      <x:c r="B35" s="2"/>
      <x:c r="C35" s="2" t="str">
        <x:v>Y1 총 순매출</x:v>
      </x:c>
      <x:c r="D35" s="2" t="str">
        <x:v>원</x:v>
      </x:c>
      <x:c r="E35" s="2"/>
      <x:c r="F35" s="31" t="n">
        <x:f>'03_월별손익'!F33</x:f>
        <x:v>54235221.9180309</x:v>
      </x:c>
      <x:c r="G35" s="2"/>
      <x:c r="H35" s="2"/>
      <x:c r="I35" s="2"/>
      <x:c r="J35" s="2"/>
      <x:c r="K35" s="2"/>
      <x:c r="L35" s="2"/>
      <x:c r="M35" s="2"/>
      <x:c r="N35" s="2"/>
    </x:row>
    <x:row r="36" ht="23" customHeight="1">
      <x:c r="A36" s="2"/>
      <x:c r="B36" s="2"/>
      <x:c r="C36" s="2"/>
      <x:c r="D36" s="2"/>
      <x:c r="E36" s="2"/>
      <x:c r="F36" s="2"/>
      <x:c r="G36" s="2"/>
      <x:c r="H36" s="2"/>
      <x:c r="I36" s="2"/>
      <x:c r="J36" s="2"/>
      <x:c r="K36" s="2"/>
      <x:c r="L36" s="2"/>
      <x:c r="M36" s="2"/>
      <x:c r="N36" s="2"/>
    </x:row>
    <x:row r="37" ht="23" customHeight="1">
      <x:c r="A37" s="2"/>
      <x:c r="B37" s="2"/>
      <x:c r="C37" s="2"/>
      <x:c r="D37" s="2"/>
      <x:c r="E37" s="2"/>
      <x:c r="F37" s="2"/>
      <x:c r="G37" s="2"/>
      <x:c r="H37" s="2"/>
      <x:c r="I37" s="2"/>
      <x:c r="J37" s="2"/>
      <x:c r="K37" s="2"/>
      <x:c r="L37" s="2"/>
      <x:c r="M37" s="2"/>
      <x:c r="N37" s="2"/>
    </x:row>
    <x:row r="38" ht="36" customHeight="1">
      <x:c r="A38" s="2"/>
      <x:c r="B38" s="2"/>
      <x:c r="C38" s="13" t="str">
        <x:v>100만명과 적합률 및 유료 수용률은 시장 통계가 아닙니다. 조건부 SAM 계산용 입력이며 확정 TAM으로 인용하지 않습니다. SOM은 광고 예산과 전환율에서 계산합니다.</x:v>
      </x:c>
      <x:c r="D38" s="13"/>
      <x:c r="E38" s="13"/>
      <x:c r="F38" s="13"/>
      <x:c r="G38" s="13"/>
      <x:c r="H38" s="13"/>
      <x:c r="I38" s="13"/>
      <x:c r="J38" s="13"/>
      <x:c r="K38" s="2"/>
      <x:c r="L38" s="2"/>
      <x:c r="M38" s="2"/>
      <x:c r="N38" s="2"/>
    </x:row>
    <x:row r="39" ht="23" customHeight="1">
      <x:c r="A39" s="2"/>
      <x:c r="B39" s="2"/>
      <x:c r="C39" s="2"/>
      <x:c r="D39" s="2"/>
      <x:c r="E39" s="2"/>
      <x:c r="F39" s="2"/>
      <x:c r="G39" s="2"/>
      <x:c r="H39" s="2"/>
      <x:c r="I39" s="2"/>
      <x:c r="J39" s="2"/>
      <x:c r="K39" s="2"/>
      <x:c r="L39" s="2"/>
      <x:c r="M39" s="2"/>
      <x:c r="N39" s="2"/>
    </x:row>
    <x:row r="40" ht="36" customHeight="1">
      <x:c r="A40" s="2"/>
      <x:c r="B40" s="2"/>
      <x:c r="C40" s="13" t="str">
        <x:v>원문의 글로벌 3,120억 달러와 국내 7.6조원은 원출처와 제품 범위가 확인되지 않아 채택하지 않았습니다. N91 48만명과 W케어 16만명도 실제 구매자 수가 아닙니다.</x:v>
      </x:c>
      <x:c r="D40" s="13"/>
      <x:c r="E40" s="13"/>
      <x:c r="F40" s="13"/>
      <x:c r="G40" s="13"/>
      <x:c r="H40" s="13"/>
      <x:c r="I40" s="13"/>
      <x:c r="J40" s="13"/>
      <x:c r="K40" s="2"/>
      <x:c r="L40" s="2"/>
      <x:c r="M40" s="2"/>
      <x:c r="N40" s="2"/>
    </x:row>
    <x:row r="41" ht="23" customHeight="1">
      <x:c r="A41" s="2"/>
      <x:c r="B41" s="2"/>
      <x:c r="C41" s="2"/>
      <x:c r="D41" s="2"/>
      <x:c r="E41" s="2"/>
      <x:c r="F41" s="2"/>
      <x:c r="G41" s="2"/>
      <x:c r="H41" s="2"/>
      <x:c r="I41" s="2"/>
      <x:c r="J41" s="2"/>
      <x:c r="K41" s="2"/>
      <x:c r="L41" s="2"/>
      <x:c r="M41" s="2"/>
      <x:c r="N41" s="2"/>
    </x:row>
    <x:row r="42" ht="36" customHeight="1">
      <x:c r="A42" s="2"/>
      <x:c r="B42" s="2"/>
      <x:c r="C42" s="13" t="str">
        <x:v>확장 조건은 원가와 CAC 검증, 고객 재사용, 유통 계약입니다. 올리브영 입점과 고객 데이터 접근을 확정 자산으로 간주하지 않습니다. 기본 재무에는 리테일 매출을 넣지 않았습니다.</x:v>
      </x:c>
      <x:c r="D42" s="13"/>
      <x:c r="E42" s="13"/>
      <x:c r="F42" s="13"/>
      <x:c r="G42" s="13"/>
      <x:c r="H42" s="13"/>
      <x:c r="I42" s="13"/>
      <x:c r="J42" s="13"/>
      <x:c r="K42" s="2"/>
      <x:c r="L42" s="2"/>
      <x:c r="M42" s="2"/>
      <x:c r="N42" s="2"/>
    </x:row>
    <x:row r="43" ht="23" customHeight="1">
      <x:c r="A43" s="2"/>
      <x:c r="B43" s="2"/>
      <x:c r="C43" s="2"/>
      <x:c r="D43" s="2"/>
      <x:c r="E43" s="2"/>
      <x:c r="F43" s="2"/>
      <x:c r="G43" s="2"/>
      <x:c r="H43" s="2"/>
      <x:c r="I43" s="2"/>
      <x:c r="J43" s="2"/>
      <x:c r="K43" s="2"/>
      <x:c r="L43" s="2"/>
      <x:c r="M43" s="2"/>
      <x:c r="N43" s="2"/>
    </x:row>
    <x:row r="44" ht="23" customHeight="1">
      <x:c r="A44" s="2"/>
      <x:c r="B44" s="2"/>
      <x:c r="C44" s="2"/>
      <x:c r="D44" s="2"/>
      <x:c r="E44" s="2"/>
      <x:c r="F44" s="2"/>
      <x:c r="G44" s="2"/>
      <x:c r="H44" s="2"/>
      <x:c r="I44" s="2"/>
      <x:c r="J44" s="2"/>
      <x:c r="K44" s="2"/>
      <x:c r="L44" s="2"/>
      <x:c r="M44" s="2"/>
      <x:c r="N44" s="2"/>
    </x:row>
    <x:row r="45" ht="23" customHeight="1">
      <x:c r="A45" s="2"/>
      <x:c r="B45" s="2"/>
      <x:c r="C45" s="2"/>
      <x:c r="D45" s="2"/>
      <x:c r="E45" s="2"/>
      <x:c r="F45" s="2"/>
      <x:c r="G45" s="2"/>
      <x:c r="H45" s="2"/>
      <x:c r="I45" s="2"/>
      <x:c r="J45" s="2"/>
      <x:c r="K45" s="2"/>
      <x:c r="L45" s="2"/>
      <x:c r="M45" s="2"/>
      <x:c r="N45" s="2"/>
    </x:row>
    <x:row r="46" ht="23" customHeight="1">
      <x:c r="A46" s="2"/>
      <x:c r="B46" s="2"/>
      <x:c r="C46" s="2"/>
      <x:c r="D46" s="2"/>
      <x:c r="E46" s="2"/>
      <x:c r="F46" s="2"/>
      <x:c r="G46" s="2"/>
      <x:c r="H46" s="2"/>
      <x:c r="I46" s="2"/>
      <x:c r="J46" s="2"/>
      <x:c r="K46" s="2"/>
      <x:c r="L46" s="2"/>
      <x:c r="M46" s="2"/>
      <x:c r="N46" s="2"/>
    </x:row>
    <x:row r="47" ht="23" customHeight="1">
      <x:c r="A47" s="2"/>
      <x:c r="B47" s="2"/>
      <x:c r="C47" s="2"/>
      <x:c r="D47" s="2"/>
      <x:c r="E47" s="2"/>
      <x:c r="F47" s="2"/>
      <x:c r="G47" s="2"/>
      <x:c r="H47" s="2"/>
      <x:c r="I47" s="2"/>
      <x:c r="J47" s="2"/>
      <x:c r="K47" s="2"/>
      <x:c r="L47" s="2"/>
      <x:c r="M47" s="2"/>
      <x:c r="N47" s="2"/>
    </x:row>
    <x:row r="48" ht="23" customHeight="1">
      <x:c r="A48" s="2"/>
      <x:c r="B48" s="2"/>
      <x:c r="C48" s="2"/>
      <x:c r="D48" s="2"/>
      <x:c r="E48" s="2"/>
      <x:c r="F48" s="2"/>
      <x:c r="G48" s="2"/>
      <x:c r="H48" s="2"/>
      <x:c r="I48" s="2"/>
      <x:c r="J48" s="2"/>
      <x:c r="K48" s="2"/>
      <x:c r="L48" s="2"/>
      <x:c r="M48" s="2"/>
      <x:c r="N48" s="2"/>
    </x:row>
    <x:row r="49" ht="23" customHeight="1">
      <x:c r="A49" s="2"/>
      <x:c r="B49" s="2"/>
      <x:c r="C49" s="2"/>
      <x:c r="D49" s="2"/>
      <x:c r="E49" s="2"/>
      <x:c r="F49" s="2"/>
      <x:c r="G49" s="2"/>
      <x:c r="H49" s="2"/>
      <x:c r="I49" s="2"/>
      <x:c r="J49" s="2"/>
      <x:c r="K49" s="2"/>
      <x:c r="L49" s="2"/>
      <x:c r="M49" s="2"/>
      <x:c r="N49" s="2"/>
    </x:row>
    <x:row r="50" ht="23" customHeight="1">
      <x:c r="A50" s="2"/>
      <x:c r="B50" s="2"/>
      <x:c r="C50" s="2"/>
      <x:c r="D50" s="2"/>
      <x:c r="E50" s="2"/>
      <x:c r="F50" s="2"/>
      <x:c r="G50" s="2"/>
      <x:c r="H50" s="2"/>
      <x:c r="I50" s="2"/>
      <x:c r="J50" s="2"/>
      <x:c r="K50" s="2"/>
      <x:c r="L50" s="2"/>
      <x:c r="M50" s="2"/>
      <x:c r="N50" s="2"/>
    </x:row>
    <x:row r="51" ht="23" customHeight="1">
      <x:c r="A51" s="2"/>
      <x:c r="B51" s="2"/>
      <x:c r="C51" s="2"/>
      <x:c r="D51" s="2"/>
      <x:c r="E51" s="2"/>
      <x:c r="F51" s="2"/>
      <x:c r="G51" s="2"/>
      <x:c r="H51" s="2"/>
      <x:c r="I51" s="2"/>
      <x:c r="J51" s="2"/>
      <x:c r="K51" s="2"/>
      <x:c r="L51" s="2"/>
      <x:c r="M51" s="2"/>
      <x:c r="N51" s="2"/>
    </x:row>
    <x:row r="52" ht="23" customHeight="1">
      <x:c r="A52" s="2"/>
      <x:c r="B52" s="2"/>
      <x:c r="C52" s="2"/>
      <x:c r="D52" s="2"/>
      <x:c r="E52" s="2"/>
      <x:c r="F52" s="2"/>
      <x:c r="G52" s="2"/>
      <x:c r="H52" s="2"/>
      <x:c r="I52" s="2"/>
      <x:c r="J52" s="2"/>
      <x:c r="K52" s="2"/>
      <x:c r="L52" s="2"/>
      <x:c r="M52" s="2"/>
      <x:c r="N52" s="2"/>
    </x:row>
    <x:row r="53" ht="23" customHeight="1">
      <x:c r="A53" s="2"/>
      <x:c r="B53" s="2"/>
      <x:c r="C53" s="2"/>
      <x:c r="D53" s="2"/>
      <x:c r="E53" s="2"/>
      <x:c r="F53" s="2"/>
      <x:c r="G53" s="2"/>
      <x:c r="H53" s="2"/>
      <x:c r="I53" s="2"/>
      <x:c r="J53" s="2"/>
      <x:c r="K53" s="2"/>
      <x:c r="L53" s="2"/>
      <x:c r="M53" s="2"/>
      <x:c r="N53" s="2"/>
    </x:row>
    <x:row r="54" ht="23" customHeight="1">
      <x:c r="A54" s="2"/>
      <x:c r="B54" s="2"/>
      <x:c r="C54" s="2"/>
      <x:c r="D54" s="2"/>
      <x:c r="E54" s="2"/>
      <x:c r="F54" s="2"/>
      <x:c r="G54" s="2"/>
      <x:c r="H54" s="2"/>
      <x:c r="I54" s="2"/>
      <x:c r="J54" s="2"/>
      <x:c r="K54" s="2"/>
      <x:c r="L54" s="2"/>
      <x:c r="M54" s="2"/>
      <x:c r="N54" s="2"/>
    </x:row>
  </x:sheetData>
  <x:mergeCells>
    <x:mergeCell ref="C5:N5"/>
    <x:mergeCell ref="C19:J19"/>
    <x:mergeCell ref="C38:J38"/>
    <x:mergeCell ref="C40:J40"/>
    <x:mergeCell ref="C42:J42"/>
  </x:mergeCells>
  <x:pageMargins left="0.7" right="0.7" top="0.75" bottom="0.75" header="0.3" footer="0.3"/>
</x:worksheet>
</file>

<file path=xl/worksheets/sheet8.xml><?xml version="1.0" encoding="utf-8"?>
<x:worksheet xmlns:x="http://schemas.openxmlformats.org/spreadsheetml/2006/main">
  <x:sheetPr>
    <x:tabColor rgb="FFBCC8D3"/>
  </x:sheetPr>
  <x:sheetViews>
    <x:sheetView showGridLines="0" workbookViewId="0">
      <x:pane ySplit="7" topLeftCell="A8" activePane="bottomLeft" state="frozen"/>
    </x:sheetView>
  </x:sheetViews>
  <x:sheetFormatPr defaultRowHeight="15"/>
  <x:cols>
    <x:col min="1" max="1" width="2.200000047683716" hidden="0" customWidth="1"/>
    <x:col min="2" max="2" width="2.200000047683716" hidden="0" customWidth="1"/>
    <x:col min="3" max="3" width="10" hidden="0" customWidth="1"/>
    <x:col min="4" max="4" width="23" hidden="0" customWidth="1"/>
    <x:col min="5" max="5" width="32" hidden="0" customWidth="1"/>
    <x:col min="6" max="6" width="45" hidden="0" customWidth="1"/>
    <x:col min="7" max="7" width="60" hidden="0" customWidth="1"/>
    <x:col min="8" max="8" width="48" hidden="0" customWidth="1"/>
    <x:col min="9" max="9" width="3" hidden="0" customWidth="1"/>
    <x:col min="10" max="10" width="22" hidden="0" customWidth="1"/>
    <x:col min="11" max="11" width="22" hidden="0" customWidth="1"/>
    <x:col min="12" max="12" width="22" hidden="0" customWidth="1"/>
  </x:cols>
  <x:sheetData>
    <x:row r="1" ht="23" customHeight="1">
      <x:c r="A1" s="2"/>
      <x:c r="B1" s="2"/>
      <x:c r="C1" s="2"/>
      <x:c r="D1" s="2"/>
      <x:c r="E1" s="2"/>
      <x:c r="F1" s="2"/>
      <x:c r="G1" s="2"/>
      <x:c r="H1" s="2"/>
      <x:c r="I1" s="2"/>
      <x:c r="J1" s="2"/>
      <x:c r="K1" s="2"/>
      <x:c r="L1" s="2"/>
    </x:row>
    <x:row r="2" ht="35" customHeight="1">
      <x:c r="A2" s="2"/>
      <x:c r="B2" s="2"/>
      <x:c r="C2" s="3" t="str">
        <x:v>원문 주장과 외부 근거의 적용 범위</x:v>
      </x:c>
      <x:c r="D2" s="2"/>
      <x:c r="E2" s="2"/>
      <x:c r="F2" s="2"/>
      <x:c r="G2" s="2"/>
      <x:c r="H2" s="2"/>
      <x:c r="I2" s="2"/>
      <x:c r="J2" s="2"/>
      <x:c r="K2" s="2"/>
      <x:c r="L2" s="2"/>
    </x:row>
    <x:row r="3" ht="23" customHeight="1">
      <x:c r="A3" s="2"/>
      <x:c r="B3" s="2"/>
      <x:c r="C3" s="2"/>
      <x:c r="D3" s="2"/>
      <x:c r="E3" s="2"/>
      <x:c r="F3" s="2"/>
      <x:c r="G3" s="2"/>
      <x:c r="H3" s="2"/>
      <x:c r="I3" s="2"/>
      <x:c r="J3" s="2"/>
      <x:c r="K3" s="2"/>
      <x:c r="L3" s="2"/>
    </x:row>
    <x:row r="4" ht="23" customHeight="1">
      <x:c r="A4" s="2"/>
      <x:c r="B4" s="2"/>
      <x:c r="C4" s="2" t="str">
        <x:v>선택 시나리오</x:v>
      </x:c>
      <x:c r="D4" s="2"/>
      <x:c r="E4" s="2"/>
      <x:c r="F4" s="51" t="str">
        <x:f>'01_가정'!H4</x:f>
        <x:v>기준</x:v>
      </x:c>
      <x:c r="G4" s="2"/>
      <x:c r="H4" s="2"/>
      <x:c r="I4" s="2"/>
      <x:c r="J4" s="2"/>
      <x:c r="K4" s="2"/>
      <x:c r="L4" s="2"/>
    </x:row>
    <x:row r="5" ht="23" customHeight="1">
      <x:c r="A5" s="2"/>
      <x:c r="B5" s="2"/>
      <x:c r="C5" s="2"/>
      <x:c r="D5" s="2"/>
      <x:c r="E5" s="2"/>
      <x:c r="F5" s="2"/>
      <x:c r="G5" s="2"/>
      <x:c r="H5" s="2"/>
      <x:c r="I5" s="2"/>
      <x:c r="J5" s="2"/>
      <x:c r="K5" s="2"/>
      <x:c r="L5" s="2"/>
    </x:row>
    <x:row r="6" ht="23" customHeight="1">
      <x:c r="A6" s="2"/>
      <x:c r="B6" s="2"/>
      <x:c r="C6" s="2"/>
      <x:c r="D6" s="2"/>
      <x:c r="E6" s="2"/>
      <x:c r="F6" s="2"/>
      <x:c r="G6" s="2"/>
      <x:c r="H6" s="2"/>
      <x:c r="I6" s="2"/>
      <x:c r="J6" s="2"/>
      <x:c r="K6" s="2"/>
      <x:c r="L6" s="2"/>
    </x:row>
    <x:row r="7" ht="30" customHeight="1">
      <x:c r="A7" s="2"/>
      <x:c r="B7" s="2"/>
      <x:c r="C7" s="17" t="str">
        <x:v>ID</x:v>
      </x:c>
      <x:c r="D7" s="17" t="str">
        <x:v>근거 종류</x:v>
      </x:c>
      <x:c r="E7" s="17" t="str">
        <x:v>자료명</x:v>
      </x:c>
      <x:c r="F7" s="17" t="str">
        <x:v>채택한 내용</x:v>
      </x:c>
      <x:c r="G7" s="17" t="str">
        <x:v>위치 또는 URL</x:v>
      </x:c>
      <x:c r="H7" s="17" t="str">
        <x:v>해석 제한</x:v>
      </x:c>
      <x:c r="I7" s="2"/>
      <x:c r="J7" s="2"/>
      <x:c r="K7" s="2"/>
      <x:c r="L7" s="2"/>
    </x:row>
    <x:row r="8" ht="68" customHeight="1">
      <x:c r="A8" s="2"/>
      <x:c r="B8" s="2"/>
      <x:c r="C8" s="13" t="str">
        <x:v>S01</x:v>
      </x:c>
      <x:c r="D8" s="13" t="str">
        <x:v>사용자 제안서</x:v>
      </x:c>
      <x:c r="E8" s="13" t="str">
        <x:v>KakaoTalk20260925.txt</x:v>
      </x:c>
      <x:c r="F8" s="13" t="str">
        <x:v>아이디어 타깃 수익모델 및 3억원 사용 계획</x:v>
      </x:c>
      <x:c r="G8" s="13" t="str">
        <x:v>첨부 원문</x:v>
      </x:c>
      <x:c r="H8" s="13" t="str">
        <x:v>원안의 주장과 계획이며 검증 실적이 아님</x:v>
      </x:c>
      <x:c r="I8" s="2"/>
      <x:c r="J8" s="2"/>
      <x:c r="K8" s="2"/>
      <x:c r="L8" s="2"/>
    </x:row>
    <x:row r="9" ht="68" customHeight="1">
      <x:c r="A9" s="2"/>
      <x:c r="B9" s="2"/>
      <x:c r="C9" s="13" t="str">
        <x:v>S02</x:v>
      </x:c>
      <x:c r="D9" s="13" t="str">
        <x:v>사용자 면접 자료</x:v>
      </x:c>
      <x:c r="E9" s="13" t="str">
        <x:v>KakaoTalk20260923.txt</x:v>
      </x:c>
      <x:c r="F9" s="13" t="str">
        <x:v>100일 게임과 카드 선택 예산</x:v>
      </x:c>
      <x:c r="G9" s="13" t="str">
        <x:v>첨부 원문</x:v>
      </x:c>
      <x:c r="H9" s="13" t="str">
        <x:v>게임 선택 합계 산술 수정</x:v>
      </x:c>
      <x:c r="I9" s="2"/>
      <x:c r="J9" s="2"/>
      <x:c r="K9" s="2"/>
      <x:c r="L9" s="2"/>
    </x:row>
    <x:row r="10" ht="68" customHeight="1">
      <x:c r="A10" s="2"/>
      <x:c r="B10" s="2"/>
      <x:c r="C10" s="13" t="str">
        <x:v>S03</x:v>
      </x:c>
      <x:c r="D10" s="13" t="str">
        <x:v>사용자 목업 4장</x:v>
      </x:c>
      <x:c r="E10" s="13" t="str">
        <x:v>KakaoTalk_20261023 이미지</x:v>
      </x:c>
      <x:c r="F10" s="13" t="str">
        <x:v>온도 배터리 소재 및 사용 장면</x:v>
      </x:c>
      <x:c r="G10" s="13" t="str">
        <x:v>첨부 이미지</x:v>
      </x:c>
      <x:c r="H10" s="13" t="str">
        <x:v>완제품 또는 인증 증빙 아님</x:v>
      </x:c>
      <x:c r="I10" s="2"/>
      <x:c r="J10" s="2"/>
      <x:c r="K10" s="2"/>
      <x:c r="L10" s="2"/>
    </x:row>
    <x:row r="11" ht="68" customHeight="1">
      <x:c r="A11" s="2"/>
      <x:c r="B11" s="2"/>
      <x:c r="C11" s="13" t="str">
        <x:v>S04</x:v>
      </x:c>
      <x:c r="D11" s="13" t="str">
        <x:v>2025년 2기 가이드</x:v>
      </x:c>
      <x:c r="E11" s="13" t="str">
        <x:v>ONLYONE FRONTIER 2기 지원 가이드</x:v>
      </x:c>
      <x:c r="F11" s="13" t="str">
        <x:v>최대 3억원 및 1년 독립 추진 지원</x:v>
      </x:c>
      <x:c r="G11" s="13" t="str">
        <x:v>PDF p3 p10 p11</x:v>
      </x:c>
      <x:c r="H11" s="13" t="str">
        <x:v>3기 현재 일정과 확정 지원 조건으로 전용 금지</x:v>
      </x:c>
      <x:c r="I11" s="2"/>
      <x:c r="J11" s="2"/>
      <x:c r="K11" s="2"/>
      <x:c r="L11" s="2"/>
    </x:row>
    <x:row r="12" ht="68" customHeight="1">
      <x:c r="A12" s="2"/>
      <x:c r="B12" s="2"/>
      <x:c r="C12" s="13" t="str">
        <x:v>S05</x:v>
      </x:c>
      <x:c r="D12" s="13" t="str">
        <x:v>기존 계산 모델</x:v>
      </x:c>
      <x:c r="E12" s="13" t="str">
        <x:v>그날의류 면접시뮬레이션 v5 탭별결론형</x:v>
      </x:c>
      <x:c r="F12" s="13" t="str">
        <x:v>가격 149000 원가 40000 CAC 30000 출고15000</x:v>
      </x:c>
      <x:c r="G12" s="13" t="str">
        <x:v>기존 01 가정입력</x:v>
      </x:c>
      <x:c r="H12" s="13" t="str">
        <x:v>실제 제안서 수치가 아닌 종전 계산 가정</x:v>
      </x:c>
      <x:c r="I12" s="2"/>
      <x:c r="J12" s="2"/>
      <x:c r="K12" s="2"/>
      <x:c r="L12" s="2"/>
    </x:row>
    <x:row r="13" ht="68" customHeight="1">
      <x:c r="A13" s="2"/>
      <x:c r="B13" s="2"/>
      <x:c r="C13" s="13" t="str">
        <x:v>W01</x:v>
      </x:c>
      <x:c r="D13" s="13" t="str">
        <x:v>회사 공식 상품</x:v>
      </x:c>
      <x:c r="E13" s="13" t="str">
        <x:v>Myoovi 2.0 및 리필</x:v>
      </x:c>
      <x:c r="F13" s="13" t="str">
        <x:v>£79.99 기기 £13.50 패드</x:v>
      </x:c>
      <x:c r="G13" s="13" t="str">
        <x:v>https://myoovi.co.uk/collections/all</x:v>
      </x:c>
      <x:c r="H13" s="13" t="str">
        <x:v>제품 기능은 회사 설명. 한국 허가와 판매량 미확인</x:v>
      </x:c>
      <x:c r="I13" s="2"/>
      <x:c r="J13" s="2"/>
      <x:c r="K13" s="2"/>
      <x:c r="L13" s="2"/>
    </x:row>
    <x:row r="14" ht="68" customHeight="1">
      <x:c r="A14" s="2"/>
      <x:c r="B14" s="2"/>
      <x:c r="C14" s="13" t="str">
        <x:v>W02</x:v>
      </x:c>
      <x:c r="D14" s="13" t="str">
        <x:v>회사 공식 상품</x:v>
      </x:c>
      <x:c r="E14" s="13" t="str">
        <x:v>Livia Kit</x:v>
      </x:c>
      <x:c r="F14" s="13" t="str">
        <x:v>단품 $129 및 $29+월$8 옵션</x:v>
      </x:c>
      <x:c r="G14" s="13" t="str">
        <x:v>https://mylivia.com/products/livia-1</x:v>
      </x:c>
      <x:c r="H14" s="13" t="str">
        <x:v>약정 해지 조건은 구매 전 별도 확인</x:v>
      </x:c>
      <x:c r="I14" s="2"/>
      <x:c r="J14" s="2"/>
      <x:c r="K14" s="2"/>
      <x:c r="L14" s="2"/>
    </x:row>
    <x:row r="15" ht="68" customHeight="1">
      <x:c r="A15" s="2"/>
      <x:c r="B15" s="2"/>
      <x:c r="C15" s="13" t="str">
        <x:v>W03</x:v>
      </x:c>
      <x:c r="D15" s="13" t="str">
        <x:v>회사 공식 상품</x:v>
      </x:c>
      <x:c r="E15" s="13" t="str">
        <x:v>Beurer EM50</x:v>
      </x:c>
      <x:c r="F15" s="13" t="str">
        <x:v>TENS 온열 43℃ 및 교체 젤패드</x:v>
      </x:c>
      <x:c r="G15" s="13" t="str">
        <x:v>https://www.beurer.com/global/p/64854/</x:v>
      </x:c>
      <x:c r="H15" s="13" t="str">
        <x:v>가격 채택 안 함. 한국 페이지는 준비중 표시</x:v>
      </x:c>
      <x:c r="I15" s="2"/>
      <x:c r="J15" s="2"/>
      <x:c r="K15" s="2"/>
      <x:c r="L15" s="2"/>
    </x:row>
    <x:row r="16" ht="68" customHeight="1">
      <x:c r="A16" s="2"/>
      <x:c r="B16" s="2"/>
      <x:c r="C16" s="13" t="str">
        <x:v>W04</x:v>
      </x:c>
      <x:c r="D16" s="13" t="str">
        <x:v>기업 등록 제품 소개</x:v>
      </x:c>
      <x:c r="E16" s="13" t="str">
        <x:v>우먼스트레스프리</x:v>
      </x:c>
      <x:c r="F16" s="13" t="str">
        <x:v>생리통 치료용 광 기반 기기</x:v>
      </x:c>
      <x:c r="G16" s="13" t="str">
        <x:v>https://dhnet.kodhia.or.kr/core/?cid=100&amp;dSeq=26</x:v>
      </x:c>
      <x:c r="H16" s="13" t="str">
        <x:v>기업 소개를 사용. 허가번호와 사용목적 독립 재확인 필요</x:v>
      </x:c>
      <x:c r="I16" s="2"/>
      <x:c r="J16" s="2"/>
      <x:c r="K16" s="2"/>
      <x:c r="L16" s="2"/>
    </x:row>
    <x:row r="17" ht="68" customHeight="1">
      <x:c r="A17" s="2"/>
      <x:c r="B17" s="2"/>
      <x:c r="C17" s="13" t="str">
        <x:v>W05</x:v>
      </x:c>
      <x:c r="D17" s="13" t="str">
        <x:v>회사 공식 상품</x:v>
      </x:c>
      <x:c r="E17" s="13" t="str">
        <x:v>ThermaCare Menstrual</x:v>
      </x:c>
      <x:c r="F17" s="13" t="str">
        <x:v>일회용 의복 부착형 온열 제품</x:v>
      </x:c>
      <x:c r="G17" s="13" t="str">
        <x:v>https://www.thermacare.com/heat-wraps/menstrual-pain-therapy/</x:v>
      </x:c>
      <x:c r="H17" s="13" t="str">
        <x:v>8시간은 회사 표시 기능. 당사 효과로 전용 불가</x:v>
      </x:c>
      <x:c r="I17" s="2"/>
      <x:c r="J17" s="2"/>
      <x:c r="K17" s="2"/>
      <x:c r="L17" s="2"/>
    </x:row>
    <x:row r="18" ht="68" customHeight="1">
      <x:c r="A18" s="2"/>
      <x:c r="B18" s="2"/>
      <x:c r="C18" s="13" t="str">
        <x:v>W06</x:v>
      </x:c>
      <x:c r="D18" s="13" t="str">
        <x:v>회사 공식몰</x:v>
      </x:c>
      <x:c r="E18" s="13" t="str">
        <x:v>풀리오 종아리 V3</x:v>
      </x:c>
      <x:c r="F18" s="13" t="str">
        <x:v>3중 에어셀과 표시가 159000원</x:v>
      </x:c>
      <x:c r="G18" s="13" t="str">
        <x:v>https://puliodays.com/</x:v>
      </x:c>
      <x:c r="H18" s="13" t="str">
        <x:v>국내 마사지 예산 경쟁. 생리주기 치료 대안으로 표기 안 함</x:v>
      </x:c>
      <x:c r="I18" s="2"/>
      <x:c r="J18" s="2"/>
      <x:c r="K18" s="2"/>
      <x:c r="L18" s="2"/>
    </x:row>
    <x:row r="19" ht="68" customHeight="1">
      <x:c r="A19" s="2"/>
      <x:c r="B19" s="2"/>
      <x:c r="C19" s="13" t="str">
        <x:v>W07</x:v>
      </x:c>
      <x:c r="D19" s="13" t="str">
        <x:v>회사 공식몰</x:v>
      </x:c>
      <x:c r="E19" s="13" t="str">
        <x:v>클럭 미니 마사지기S</x:v>
      </x:c>
      <x:c r="F19" s="13" t="str">
        <x:v>표시가 59900원과 패드 교체 구조</x:v>
      </x:c>
      <x:c r="G19" s="13" t="str">
        <x:v>https://klug.kr/category/마사지기/47/</x:v>
      </x:c>
      <x:c r="H19" s="13" t="str">
        <x:v>별도 구성과 행사에 따라 가격 변동</x:v>
      </x:c>
      <x:c r="I19" s="2"/>
      <x:c r="J19" s="2"/>
      <x:c r="K19" s="2"/>
      <x:c r="L19" s="2"/>
    </x:row>
    <x:row r="20" ht="68" customHeight="1">
      <x:c r="A20" s="2"/>
      <x:c r="B20" s="2"/>
      <x:c r="C20" s="13" t="str">
        <x:v>W08</x:v>
      </x:c>
      <x:c r="D20" s="13" t="str">
        <x:v>회사 공식 설명</x:v>
      </x:c>
      <x:c r="E20" s="13" t="str">
        <x:v>Sea Band</x:v>
      </x:c>
      <x:c r="F20" s="13" t="str">
        <x:v>손목 지압 돌기와 재사용 구조</x:v>
      </x:c>
      <x:c r="G20" s="13" t="str">
        <x:v>https://sea-band.com/pages/why-seaband</x:v>
      </x:c>
      <x:c r="H20" s="13" t="str">
        <x:v>오심 대상. 생리통이나 주기 개선 근거 아님</x:v>
      </x:c>
      <x:c r="I20" s="2"/>
      <x:c r="J20" s="2"/>
      <x:c r="K20" s="2"/>
      <x:c r="L20" s="2"/>
    </x:row>
    <x:row r="21" ht="68" customHeight="1">
      <x:c r="A21" s="2"/>
      <x:c r="B21" s="2"/>
      <x:c r="C21" s="13" t="str">
        <x:v>W09</x:v>
      </x:c>
      <x:c r="D21" s="13" t="str">
        <x:v>회사 공식몰</x:v>
      </x:c>
      <x:c r="E21" s="13" t="str">
        <x:v>Ovira</x:v>
      </x:c>
      <x:c r="F21" s="13" t="str">
        <x:v>현재 홈과 상품 목록은 보충제 중심</x:v>
      </x:c>
      <x:c r="G21" s="13" t="str">
        <x:v>https://ovira.com/</x:v>
      </x:c>
      <x:c r="H21" s="13" t="str">
        <x:v>Noha의 현재 판매를 확인하지 못해 가격 비교 제외</x:v>
      </x:c>
      <x:c r="I21" s="2"/>
      <x:c r="J21" s="2"/>
      <x:c r="K21" s="2"/>
      <x:c r="L21" s="2"/>
    </x:row>
    <x:row r="22" ht="68" customHeight="1">
      <x:c r="A22" s="2"/>
      <x:c r="B22" s="2"/>
      <x:c r="C22" s="13" t="str">
        <x:v>W10</x:v>
      </x:c>
      <x:c r="D22" s="13" t="str">
        <x:v>학술 종설</x:v>
      </x:c>
      <x:c r="E22" s="13" t="str">
        <x:v>Cochrane 2016</x:v>
      </x:c>
      <x:c r="F22" s="13" t="str">
        <x:v>42개 연구 4640명 효과 근거 낮음 또는 매우 낮음</x:v>
      </x:c>
      <x:c r="G22" s="13" t="str">
        <x:v>https://www.cochrane.org/evidence/CD007854_acupuncture-period-pain</x:v>
      </x:c>
      <x:c r="H22" s="13" t="str">
        <x:v>문헌 검색 시점 2015년 9월. 후속 연구와 함께 해석</x:v>
      </x:c>
      <x:c r="I22" s="2"/>
      <x:c r="J22" s="2"/>
      <x:c r="K22" s="2"/>
      <x:c r="L22" s="2"/>
    </x:row>
    <x:row r="23" ht="68" customHeight="1">
      <x:c r="A23" s="2"/>
      <x:c r="B23" s="2"/>
      <x:c r="C23" s="13" t="str">
        <x:v>W11</x:v>
      </x:c>
      <x:c r="D23" s="13" t="str">
        <x:v>무작위 연구</x:v>
      </x:c>
      <x:c r="E23" s="13" t="str">
        <x:v>Blödt 2018</x:v>
      </x:c>
      <x:c r="F23" s="13" t="str">
        <x:v>221명 자가 지압 대 통상 관리 통증 비교</x:v>
      </x:c>
      <x:c r="G23" s="13" t="str">
        <x:v>https://pubmed.ncbi.nlm.nih.gov/29155036/</x:v>
      </x:c>
      <x:c r="H23" s="13" t="str">
        <x:v>3주기 차이 -0.6 6주기 -1.4 NRS. 본 제품 연구 아님</x:v>
      </x:c>
      <x:c r="I23" s="2"/>
      <x:c r="J23" s="2"/>
      <x:c r="K23" s="2"/>
      <x:c r="L23" s="2"/>
    </x:row>
    <x:row r="24" ht="68" customHeight="1">
      <x:c r="A24" s="2"/>
      <x:c r="B24" s="2"/>
      <x:c r="C24" s="13" t="str">
        <x:v>W12</x:v>
      </x:c>
      <x:c r="D24" s="13" t="str">
        <x:v>무작위 연구</x:v>
      </x:c>
      <x:c r="E24" s="13" t="str">
        <x:v>Aksoy Can 2025</x:v>
      </x:c>
      <x:c r="F24" s="13" t="str">
        <x:v>56명 LI4 ST36 SP6 자가 지압 대 모의 지압</x:v>
      </x:c>
      <x:c r="G24" s="13" t="str">
        <x:v>https://link.springer.com/article/10.1186/s12906-025-04965-0</x:v>
      </x:c>
      <x:c r="H24" s="13" t="str">
        <x:v>통증과 편안함 지표. 주기 정상화 또는 공기압 기기 검증 아님</x:v>
      </x:c>
      <x:c r="I24" s="2"/>
      <x:c r="J24" s="2"/>
      <x:c r="K24" s="2"/>
      <x:c r="L24" s="2"/>
    </x:row>
    <x:row r="25" ht="68" customHeight="1">
      <x:c r="A25" s="2"/>
      <x:c r="B25" s="2"/>
      <x:c r="C25" s="13" t="str">
        <x:v>W13</x:v>
      </x:c>
      <x:c r="D25" s="13" t="str">
        <x:v>정부 지침</x:v>
      </x:c>
      <x:c r="E25" s="13" t="str">
        <x:v>MFDS 2026년 2월 판단기준</x:v>
      </x:c>
      <x:c r="F25" s="13" t="str">
        <x:v>사용목적과 위해도 및 표시 광고 종합 판단</x:v>
      </x:c>
      <x:c r="G25" s="13" t="str">
        <x:v>https://mfds.go.kr/law/board/boardDetail.do?brdId=data0010&amp;menuKey=29&amp;seq=15229</x:v>
      </x:c>
      <x:c r="H25" s="13" t="str">
        <x:v>세부 원문은 대한병원협회 첨부본 PDF p17~19 참고</x:v>
      </x:c>
      <x:c r="I25" s="2"/>
      <x:c r="J25" s="2"/>
      <x:c r="K25" s="2"/>
      <x:c r="L25" s="2"/>
    </x:row>
    <x:row r="26" ht="68" customHeight="1">
      <x:c r="A26" s="2"/>
      <x:c r="B26" s="2"/>
      <x:c r="C26" s="13" t="str">
        <x:v>W14</x:v>
      </x:c>
      <x:c r="D26" s="13" t="str">
        <x:v>정부 지침 원문</x:v>
      </x:c>
      <x:c r="E26" s="13" t="str">
        <x:v>MFDS 판단기준 PDF</x:v>
      </x:c>
      <x:c r="F26" s="13" t="str">
        <x:v>의료기기와 웰니스 구분</x:v>
      </x:c>
      <x:c r="G26" s="13" t="str">
        <x:v>https://www.kha.or.kr/kha_home/notice_list.do?articleNo=46304&amp;attachNo=424222&amp;mode=download</x:v>
      </x:c>
      <x:c r="H26" s="13" t="str">
        <x:v>법적 허가 결론이 아님. 본 제품 분류 개별 검토 필요</x:v>
      </x:c>
      <x:c r="I26" s="2"/>
      <x:c r="J26" s="2"/>
      <x:c r="K26" s="2"/>
      <x:c r="L26" s="2"/>
    </x:row>
    <x:row r="27" ht="68" customHeight="1">
      <x:c r="A27" s="2"/>
      <x:c r="B27" s="2"/>
      <x:c r="C27" s="13" t="str">
        <x:v>W15</x:v>
      </x:c>
      <x:c r="D27" s="13" t="str">
        <x:v>CJ 공식 보도</x:v>
      </x:c>
      <x:c r="E27" s="13" t="str">
        <x:v>W케어 2025년 3월 확장</x:v>
      </x:c>
      <x:c r="F27" s="13" t="str">
        <x:v>상품 약 18000개 및 체험 공간 운영</x:v>
      </x:c>
      <x:c r="G27" s="13" t="str">
        <x:v>https://cjnews.cj.net/올리브영-여성-건강-위한-w케어-육성-박차상품/</x:v>
      </x:c>
      <x:c r="H27" s="13" t="str">
        <x:v>카테고리 존재 확인. 당사 입점 및 데이터 권한 의미 아님</x:v>
      </x:c>
      <x:c r="I27" s="2"/>
      <x:c r="J27" s="2"/>
      <x:c r="K27" s="2"/>
      <x:c r="L27" s="2"/>
    </x:row>
    <x:row r="28" ht="68" customHeight="1">
      <x:c r="A28" s="2"/>
      <x:c r="B28" s="2"/>
      <x:c r="C28" s="13" t="str">
        <x:v>W16</x:v>
      </x:c>
      <x:c r="D28" s="13" t="str">
        <x:v>전문학회 안내</x:v>
      </x:c>
      <x:c r="E28" s="13" t="str">
        <x:v>ACOG Amenorrhea</x:v>
      </x:c>
      <x:c r="F28" s="13" t="str">
        <x:v>무월경의 의학적 평가 필요</x:v>
      </x:c>
      <x:c r="G28" s="13" t="str">
        <x:v>https://www.acog.org/womens-health/faqs/amenorrhea-absence-of-periods</x:v>
      </x:c>
      <x:c r="H28" s="13" t="str">
        <x:v>생리 지연을 단순 셀프케어 문제로만 규정하지 않음</x:v>
      </x:c>
      <x:c r="I28" s="2"/>
      <x:c r="J28" s="2"/>
      <x:c r="K28" s="2"/>
      <x:c r="L28" s="2"/>
    </x:row>
    <x:row r="29" ht="68" customHeight="1">
      <x:c r="A29" s="2"/>
      <x:c r="B29" s="2"/>
      <x:c r="C29" s="13" t="str">
        <x:v>W17</x:v>
      </x:c>
      <x:c r="D29" s="13" t="str">
        <x:v>정부 의료정보</x:v>
      </x:c>
      <x:c r="E29" s="13" t="str">
        <x:v>NCI 경구피임약과 암</x:v>
      </x:c>
      <x:c r="F29" s="13" t="str">
        <x:v>위험과 일부 암 위험 감소를 함께 설명</x:v>
      </x:c>
      <x:c r="G29" s="13" t="str">
        <x:v>https://www.cancer.gov/about-cancer/causes-prevention/risk/hormones/oral-contraceptives-fact-sheet</x:v>
      </x:c>
      <x:c r="H29" s="13" t="str">
        <x:v>원문 약물 공포 중심 비교는 삭제 권고</x:v>
      </x:c>
      <x:c r="I29" s="2"/>
      <x:c r="J29" s="2"/>
      <x:c r="K29" s="2"/>
      <x:c r="L29" s="2"/>
    </x:row>
    <x:row r="30" ht="68" customHeight="1">
      <x:c r="A30" s="2"/>
      <x:c r="B30" s="2"/>
      <x:c r="C30" s="13" t="str">
        <x:v>W18</x:v>
      </x:c>
      <x:c r="D30" s="13" t="str">
        <x:v>정부 보도</x:v>
      </x:c>
      <x:c r="E30" s="13" t="str">
        <x:v>보건복지부 N91 설명</x:v>
      </x:c>
      <x:c r="F30" s="13" t="str">
        <x:v>N91은 무월경 소량 및 희발 월경</x:v>
      </x:c>
      <x:c r="G30" s="13" t="str">
        <x:v>https://www.mohw.go.kr/board.es?act=view&amp;bid=0027&amp;list_no=305444&amp;mid=a10503010100</x:v>
      </x:c>
      <x:c r="H30" s="13" t="str">
        <x:v>2014년 자료는 코드 의미 확인용. 최신 48만명 근거 아님</x:v>
      </x:c>
      <x:c r="I30" s="2"/>
      <x:c r="J30" s="2"/>
      <x:c r="K30" s="2"/>
      <x:c r="L30" s="2"/>
    </x:row>
    <x:row r="31" ht="23" customHeight="1">
      <x:c r="A31" s="2"/>
      <x:c r="B31" s="2"/>
      <x:c r="C31" s="2"/>
      <x:c r="D31" s="2"/>
      <x:c r="E31" s="2"/>
      <x:c r="F31" s="2"/>
      <x:c r="G31" s="2"/>
      <x:c r="H31" s="2"/>
      <x:c r="I31" s="2"/>
      <x:c r="J31" s="2"/>
      <x:c r="K31" s="2"/>
      <x:c r="L31" s="2"/>
    </x:row>
    <x:row r="32" ht="23" customHeight="1">
      <x:c r="A32" s="2"/>
      <x:c r="B32" s="2"/>
      <x:c r="C32" s="2"/>
      <x:c r="D32" s="2"/>
      <x:c r="E32" s="2"/>
      <x:c r="F32" s="2"/>
      <x:c r="G32" s="2"/>
      <x:c r="H32" s="2"/>
      <x:c r="I32" s="2"/>
      <x:c r="J32" s="2"/>
      <x:c r="K32" s="2"/>
      <x:c r="L32" s="2"/>
    </x:row>
    <x:row r="33" ht="23" customHeight="1">
      <x:c r="A33" s="2"/>
      <x:c r="B33" s="2"/>
      <x:c r="C33" s="2"/>
      <x:c r="D33" s="2"/>
      <x:c r="E33" s="2"/>
      <x:c r="F33" s="2"/>
      <x:c r="G33" s="2"/>
      <x:c r="H33" s="2"/>
      <x:c r="I33" s="2"/>
      <x:c r="J33" s="2"/>
      <x:c r="K33" s="2"/>
      <x:c r="L33" s="2"/>
    </x:row>
    <x:row r="34" ht="23" customHeight="1">
      <x:c r="A34" s="2"/>
      <x:c r="B34" s="2"/>
      <x:c r="C34" s="19" t="str">
        <x:v>원안 주장별 현재 판단</x:v>
      </x:c>
      <x:c r="D34" s="19"/>
      <x:c r="E34" s="19"/>
      <x:c r="F34" s="19"/>
      <x:c r="G34" s="19"/>
      <x:c r="H34" s="19"/>
      <x:c r="I34" s="2"/>
      <x:c r="J34" s="2"/>
      <x:c r="K34" s="2"/>
      <x:c r="L34" s="2"/>
    </x:row>
    <x:row r="35" ht="23" customHeight="1">
      <x:c r="A35" s="2"/>
      <x:c r="B35" s="2"/>
      <x:c r="C35" s="2"/>
      <x:c r="D35" s="2"/>
      <x:c r="E35" s="2"/>
      <x:c r="F35" s="2"/>
      <x:c r="G35" s="2"/>
      <x:c r="H35" s="2"/>
      <x:c r="I35" s="2"/>
      <x:c r="J35" s="2"/>
      <x:c r="K35" s="2"/>
      <x:c r="L35" s="2"/>
    </x:row>
    <x:row r="36" ht="30" customHeight="1">
      <x:c r="A36" s="2"/>
      <x:c r="B36" s="2"/>
      <x:c r="C36" s="17" t="str">
        <x:v>원문 주장</x:v>
      </x:c>
      <x:c r="D36" s="17" t="str"/>
      <x:c r="E36" s="17" t="str">
        <x:v>상태</x:v>
      </x:c>
      <x:c r="F36" s="17" t="str">
        <x:v>반영 조치</x:v>
      </x:c>
      <x:c r="G36" s="17" t="str">
        <x:v>출처</x:v>
      </x:c>
      <x:c r="H36" s="17" t="str"/>
      <x:c r="I36" s="2"/>
      <x:c r="J36" s="2"/>
      <x:c r="K36" s="2"/>
      <x:c r="L36" s="2"/>
    </x:row>
    <x:row r="37" ht="50" customHeight="1">
      <x:c r="A37" s="2"/>
      <x:c r="B37" s="2"/>
      <x:c r="C37" s="13" t="str">
        <x:v>생리 지연과 불순 개선</x:v>
      </x:c>
      <x:c r="D37" s="13"/>
      <x:c r="E37" s="13" t="str">
        <x:v>제품 직접 근거 없음</x:v>
      </x:c>
      <x:c r="F37" s="13" t="str">
        <x:v>통증 연구를 주기 개선으로 확대하지 않음</x:v>
      </x:c>
      <x:c r="G37" s="13" t="str">
        <x:v>S01 W10 W11 W12</x:v>
      </x:c>
      <x:c r="H37" s="13"/>
      <x:c r="I37" s="2"/>
      <x:c r="J37" s="2"/>
      <x:c r="K37" s="2"/>
      <x:c r="L37" s="2"/>
    </x:row>
    <x:row r="38" ht="50" customHeight="1">
      <x:c r="A38" s="2"/>
      <x:c r="B38" s="2"/>
      <x:c r="C38" s="13" t="str">
        <x:v>황토볼 소재 자체 우월성</x:v>
      </x:c>
      <x:c r="D38" s="13"/>
      <x:c r="E38" s="13" t="str">
        <x:v>미검증</x:v>
      </x:c>
      <x:c r="F38" s="13" t="str">
        <x:v>동일 형상 다른 소재와 비교 필요</x:v>
      </x:c>
      <x:c r="G38" s="13" t="str">
        <x:v>S03</x:v>
      </x:c>
      <x:c r="H38" s="13"/>
      <x:c r="I38" s="2"/>
      <x:c r="J38" s="2"/>
      <x:c r="K38" s="2"/>
      <x:c r="L38" s="2"/>
    </x:row>
    <x:row r="39" ht="50" customHeight="1">
      <x:c r="A39" s="2"/>
      <x:c r="B39" s="2"/>
      <x:c r="C39" s="13" t="str">
        <x:v>37 42 47℃와 2시간 작동</x:v>
      </x:c>
      <x:c r="D39" s="13"/>
      <x:c r="E39" s="13" t="str">
        <x:v>목표 사양</x:v>
      </x:c>
      <x:c r="F39" s="13" t="str">
        <x:v>열 압력 전력 실측 전 확정 안 함</x:v>
      </x:c>
      <x:c r="G39" s="13" t="str">
        <x:v>S03</x:v>
      </x:c>
      <x:c r="H39" s="13"/>
      <x:c r="I39" s="2"/>
      <x:c r="J39" s="2"/>
      <x:c r="K39" s="2"/>
      <x:c r="L39" s="2"/>
    </x:row>
    <x:row r="40" ht="50" customHeight="1">
      <x:c r="A40" s="2"/>
      <x:c r="B40" s="2"/>
      <x:c r="C40" s="13" t="str">
        <x:v>최초 구조와 특허</x:v>
      </x:c>
      <x:c r="D40" s="13"/>
      <x:c r="E40" s="13" t="str">
        <x:v>미검증</x:v>
      </x:c>
      <x:c r="F40" s="13" t="str">
        <x:v>전시회 미발견은 선행기술 조사 아님</x:v>
      </x:c>
      <x:c r="G40" s="13" t="str">
        <x:v>S01</x:v>
      </x:c>
      <x:c r="H40" s="13"/>
      <x:c r="I40" s="2"/>
      <x:c r="J40" s="2"/>
      <x:c r="K40" s="2"/>
      <x:c r="L40" s="2"/>
    </x:row>
    <x:row r="41" ht="50" customHeight="1">
      <x:c r="A41" s="2"/>
      <x:c r="B41" s="2"/>
      <x:c r="C41" s="13" t="str">
        <x:v>W케어 PB와 고객 데이터</x:v>
      </x:c>
      <x:c r="D41" s="13"/>
      <x:c r="E41" s="13" t="str">
        <x:v>협업 제안</x:v>
      </x:c>
      <x:c r="F41" s="13" t="str">
        <x:v>입점과 데이터 이용 계약 없음</x:v>
      </x:c>
      <x:c r="G41" s="13" t="str">
        <x:v>S01 W15</x:v>
      </x:c>
      <x:c r="H41" s="13"/>
      <x:c r="I41" s="2"/>
      <x:c r="J41" s="2"/>
      <x:c r="K41" s="2"/>
      <x:c r="L41" s="2"/>
    </x:row>
    <x:row r="42" ht="50" customHeight="1">
      <x:c r="A42" s="2"/>
      <x:c r="B42" s="2"/>
      <x:c r="C42" s="13" t="str">
        <x:v>글로벌 3120억 달러와 국내 7.6조원</x:v>
      </x:c>
      <x:c r="D42" s="13"/>
      <x:c r="E42" s="13" t="str">
        <x:v>원출처 미확인</x:v>
      </x:c>
      <x:c r="F42" s="13" t="str">
        <x:v>확정 TAM SAM 숫자에서 제외</x:v>
      </x:c>
      <x:c r="G42" s="13" t="str">
        <x:v>S01</x:v>
      </x:c>
      <x:c r="H42" s="13"/>
      <x:c r="I42" s="2"/>
      <x:c r="J42" s="2"/>
      <x:c r="K42" s="2"/>
      <x:c r="L42" s="2"/>
    </x:row>
    <x:row r="43" ht="50" customHeight="1">
      <x:c r="A43" s="2"/>
      <x:c r="B43" s="2"/>
      <x:c r="C43" s="13" t="str">
        <x:v>N91 연간 48만명</x:v>
      </x:c>
      <x:c r="D43" s="13"/>
      <x:c r="E43" s="13" t="str">
        <x:v>최신 원자료 미확인</x:v>
      </x:c>
      <x:c r="F43" s="13" t="str">
        <x:v>환자 수와 구매자 수는 다름</x:v>
      </x:c>
      <x:c r="G43" s="13" t="str">
        <x:v>S01 W18</x:v>
      </x:c>
      <x:c r="H43" s="13"/>
      <x:c r="I43" s="2"/>
      <x:c r="J43" s="2"/>
      <x:c r="K43" s="2"/>
      <x:c r="L43" s="2"/>
    </x:row>
    <x:row r="44" ht="50" customHeight="1">
      <x:c r="A44" s="2"/>
      <x:c r="B44" s="2"/>
      <x:c r="C44" s="13" t="str">
        <x:v>W케어 누적 가입 16만명</x:v>
      </x:c>
      <x:c r="D44" s="13"/>
      <x:c r="E44" s="13" t="str">
        <x:v>과거 수치 주장</x:v>
      </x:c>
      <x:c r="F44" s="13" t="str">
        <x:v>현재 획득 가능 고객으로 사용 안 함</x:v>
      </x:c>
      <x:c r="G44" s="13" t="str">
        <x:v>S01</x:v>
      </x:c>
      <x:c r="H44" s="13"/>
      <x:c r="I44" s="2"/>
      <x:c r="J44" s="2"/>
      <x:c r="K44" s="2"/>
      <x:c r="L44" s="2"/>
    </x:row>
    <x:row r="45" ht="50" customHeight="1">
      <x:c r="A45" s="2"/>
      <x:c r="B45" s="2"/>
      <x:c r="C45" s="13" t="str">
        <x:v>1년 투자금 3억원</x:v>
      </x:c>
      <x:c r="D45" s="13"/>
      <x:c r="E45" s="13" t="str">
        <x:v>신청 계획과 과거 가이드</x:v>
      </x:c>
      <x:c r="F45" s="13" t="str">
        <x:v>당해 기수 지원 계약 확인 필요</x:v>
      </x:c>
      <x:c r="G45" s="13" t="str">
        <x:v>S01 S04</x:v>
      </x:c>
      <x:c r="H45" s="13"/>
      <x:c r="I45" s="2"/>
      <x:c r="J45" s="2"/>
      <x:c r="K45" s="2"/>
      <x:c r="L45" s="2"/>
    </x:row>
    <x:row r="46" ht="50" customHeight="1">
      <x:c r="A46" s="2"/>
      <x:c r="B46" s="2"/>
      <x:c r="C46" s="13" t="str">
        <x:v>현재 고객 검증과 매출</x:v>
      </x:c>
      <x:c r="D46" s="13"/>
      <x:c r="E46" s="13" t="str">
        <x:v>증빙 미제공</x:v>
      </x:c>
      <x:c r="F46" s="13" t="str">
        <x:v>0명 또는 0원으로 확정하지 않음</x:v>
      </x:c>
      <x:c r="G46" s="13" t="str">
        <x:v>S01 S02</x:v>
      </x:c>
      <x:c r="H46" s="13"/>
      <x:c r="I46" s="2"/>
      <x:c r="J46" s="2"/>
      <x:c r="K46" s="2"/>
      <x:c r="L46" s="2"/>
    </x:row>
    <x:row r="47" ht="23" customHeight="1">
      <x:c r="A47" s="2"/>
      <x:c r="B47" s="2"/>
      <x:c r="C47" s="2"/>
      <x:c r="D47" s="2"/>
      <x:c r="E47" s="2"/>
      <x:c r="F47" s="2"/>
      <x:c r="G47" s="2"/>
      <x:c r="H47" s="2"/>
      <x:c r="I47" s="2"/>
      <x:c r="J47" s="2"/>
      <x:c r="K47" s="2"/>
      <x:c r="L47" s="2"/>
    </x:row>
    <x:row r="48" ht="23" customHeight="1">
      <x:c r="A48" s="2"/>
      <x:c r="B48" s="2"/>
      <x:c r="C48" s="2"/>
      <x:c r="D48" s="2"/>
      <x:c r="E48" s="2"/>
      <x:c r="F48" s="2"/>
      <x:c r="G48" s="2"/>
      <x:c r="H48" s="2"/>
      <x:c r="I48" s="2"/>
      <x:c r="J48" s="2"/>
      <x:c r="K48" s="2"/>
      <x:c r="L48" s="2"/>
    </x:row>
    <x:row r="49" ht="23" customHeight="1">
      <x:c r="A49" s="2"/>
      <x:c r="B49" s="2"/>
      <x:c r="C49" s="19" t="str">
        <x:v>제안서 투자금 원안</x:v>
      </x:c>
      <x:c r="D49" s="19"/>
      <x:c r="E49" s="19"/>
      <x:c r="F49" s="19"/>
      <x:c r="G49" s="19"/>
      <x:c r="H49" s="19"/>
      <x:c r="I49" s="2"/>
      <x:c r="J49" s="2"/>
      <x:c r="K49" s="2"/>
      <x:c r="L49" s="2"/>
    </x:row>
    <x:row r="50" ht="23" customHeight="1">
      <x:c r="A50" s="2"/>
      <x:c r="B50" s="2"/>
      <x:c r="C50" s="2"/>
      <x:c r="D50" s="2"/>
      <x:c r="E50" s="2"/>
      <x:c r="F50" s="2"/>
      <x:c r="G50" s="2"/>
      <x:c r="H50" s="2"/>
      <x:c r="I50" s="2"/>
      <x:c r="J50" s="2"/>
      <x:c r="K50" s="2"/>
      <x:c r="L50" s="2"/>
    </x:row>
    <x:row r="51" ht="30" customHeight="1">
      <x:c r="A51" s="2"/>
      <x:c r="B51" s="2"/>
      <x:c r="C51" s="17" t="str">
        <x:v>원안 용도</x:v>
      </x:c>
      <x:c r="D51" s="17" t="str"/>
      <x:c r="E51" s="17" t="str">
        <x:v>금액 원</x:v>
      </x:c>
      <x:c r="F51" s="2"/>
      <x:c r="G51" s="2"/>
      <x:c r="H51" s="2"/>
      <x:c r="I51" s="2"/>
      <x:c r="J51" s="2"/>
      <x:c r="K51" s="2"/>
      <x:c r="L51" s="2"/>
    </x:row>
    <x:row r="52" ht="23" customHeight="1">
      <x:c r="A52" s="2"/>
      <x:c r="B52" s="2"/>
      <x:c r="C52" s="2" t="str">
        <x:v>MVP 사용자 테스트</x:v>
      </x:c>
      <x:c r="D52" s="2"/>
      <x:c r="E52" s="43" t="n">
        <x:v>40000000</x:v>
      </x:c>
      <x:c r="F52" s="2"/>
      <x:c r="G52" s="2"/>
      <x:c r="H52" s="2"/>
      <x:c r="I52" s="2"/>
      <x:c r="J52" s="2"/>
      <x:c r="K52" s="2"/>
      <x:c r="L52" s="2"/>
    </x:row>
    <x:row r="53" ht="23" customHeight="1">
      <x:c r="A53" s="2"/>
      <x:c r="B53" s="2"/>
      <x:c r="C53" s="2" t="str">
        <x:v>제품 고도화</x:v>
      </x:c>
      <x:c r="D53" s="2"/>
      <x:c r="E53" s="43" t="n">
        <x:v>30000000</x:v>
      </x:c>
      <x:c r="F53" s="2"/>
      <x:c r="G53" s="2"/>
      <x:c r="H53" s="2"/>
      <x:c r="I53" s="2"/>
      <x:c r="J53" s="2"/>
      <x:c r="K53" s="2"/>
      <x:c r="L53" s="2"/>
    </x:row>
    <x:row r="54" ht="23" customHeight="1">
      <x:c r="A54" s="2"/>
      <x:c r="B54" s="2"/>
      <x:c r="C54" s="2" t="str">
        <x:v>양산 설계 검증</x:v>
      </x:c>
      <x:c r="D54" s="2"/>
      <x:c r="E54" s="43" t="n">
        <x:v>40000000</x:v>
      </x:c>
      <x:c r="F54" s="2"/>
      <x:c r="G54" s="2"/>
      <x:c r="H54" s="2"/>
      <x:c r="I54" s="2"/>
      <x:c r="J54" s="2"/>
      <x:c r="K54" s="2"/>
      <x:c r="L54" s="2"/>
    </x:row>
    <x:row r="55" ht="23" customHeight="1">
      <x:c r="A55" s="2"/>
      <x:c r="B55" s="2"/>
      <x:c r="C55" s="2" t="str">
        <x:v>초도 생산</x:v>
      </x:c>
      <x:c r="D55" s="2"/>
      <x:c r="E55" s="43" t="n">
        <x:v>80000000</x:v>
      </x:c>
      <x:c r="F55" s="2"/>
      <x:c r="G55" s="2"/>
      <x:c r="H55" s="2"/>
      <x:c r="I55" s="2"/>
      <x:c r="J55" s="2"/>
      <x:c r="K55" s="2"/>
      <x:c r="L55" s="2"/>
    </x:row>
    <x:row r="56" ht="23" customHeight="1">
      <x:c r="A56" s="2"/>
      <x:c r="B56" s="2"/>
      <x:c r="C56" s="2" t="str">
        <x:v>시장 검증 마케팅</x:v>
      </x:c>
      <x:c r="D56" s="2"/>
      <x:c r="E56" s="43" t="n">
        <x:v>40000000</x:v>
      </x:c>
      <x:c r="F56" s="2"/>
      <x:c r="G56" s="2"/>
      <x:c r="H56" s="2"/>
      <x:c r="I56" s="2"/>
      <x:c r="J56" s="2"/>
      <x:c r="K56" s="2"/>
      <x:c r="L56" s="2"/>
    </x:row>
    <x:row r="57" ht="23" customHeight="1">
      <x:c r="A57" s="2"/>
      <x:c r="B57" s="2"/>
      <x:c r="C57" s="2" t="str">
        <x:v>디자인 운영</x:v>
      </x:c>
      <x:c r="D57" s="2"/>
      <x:c r="E57" s="43" t="n">
        <x:v>20000000</x:v>
      </x:c>
      <x:c r="F57" s="2"/>
      <x:c r="G57" s="2"/>
      <x:c r="H57" s="2"/>
      <x:c r="I57" s="2"/>
      <x:c r="J57" s="2"/>
      <x:c r="K57" s="2"/>
      <x:c r="L57" s="2"/>
    </x:row>
    <x:row r="58" ht="23" customHeight="1">
      <x:c r="A58" s="2"/>
      <x:c r="B58" s="2"/>
      <x:c r="C58" s="2" t="str">
        <x:v>예비 투자재</x:v>
      </x:c>
      <x:c r="D58" s="2"/>
      <x:c r="E58" s="43" t="n">
        <x:v>50000000</x:v>
      </x:c>
      <x:c r="F58" s="2"/>
      <x:c r="G58" s="2"/>
      <x:c r="H58" s="2"/>
      <x:c r="I58" s="2"/>
      <x:c r="J58" s="2"/>
      <x:c r="K58" s="2"/>
      <x:c r="L58" s="2"/>
    </x:row>
    <x:row r="59" ht="23" customHeight="1">
      <x:c r="A59" s="2"/>
      <x:c r="B59" s="2"/>
      <x:c r="C59" s="2" t="str">
        <x:v>원안 합계</x:v>
      </x:c>
      <x:c r="D59" s="2"/>
      <x:c r="E59" s="33" t="n">
        <x:f>SUM(E52:E58)</x:f>
        <x:v>300000000</x:v>
      </x:c>
      <x:c r="F59" s="2"/>
      <x:c r="G59" s="2"/>
      <x:c r="H59" s="2"/>
      <x:c r="I59" s="2"/>
      <x:c r="J59" s="2"/>
      <x:c r="K59" s="2"/>
      <x:c r="L59" s="2"/>
    </x:row>
    <x:row r="60" ht="23" customHeight="1">
      <x:c r="A60" s="2"/>
      <x:c r="B60" s="2"/>
      <x:c r="C60" s="2"/>
      <x:c r="D60" s="2"/>
      <x:c r="E60" s="2"/>
      <x:c r="F60" s="2"/>
      <x:c r="G60" s="2"/>
      <x:c r="H60" s="2"/>
      <x:c r="I60" s="2"/>
      <x:c r="J60" s="2"/>
      <x:c r="K60" s="2"/>
      <x:c r="L60" s="2"/>
    </x:row>
    <x:row r="61" ht="23" customHeight="1">
      <x:c r="A61" s="2"/>
      <x:c r="B61" s="2"/>
      <x:c r="C61" s="2"/>
      <x:c r="D61" s="2"/>
      <x:c r="E61" s="2"/>
      <x:c r="F61" s="2"/>
      <x:c r="G61" s="2"/>
      <x:c r="H61" s="2"/>
      <x:c r="I61" s="2"/>
      <x:c r="J61" s="2"/>
      <x:c r="K61" s="2"/>
      <x:c r="L61" s="2"/>
    </x:row>
    <x:row r="62" ht="36" customHeight="1">
      <x:c r="A62" s="2"/>
      <x:c r="B62" s="2"/>
      <x:c r="C62" s="13" t="str">
        <x:v>외부 자료 조회일 2026년 10월 26일. 가격은 조회 당시 표시가이며 재고 또는 한국 내 허가를 보장하지 않습니다. 사업 가정 A01부터 A17은 본 보고서의 계산 입력입니다.</x:v>
      </x:c>
      <x:c r="D62" s="13"/>
      <x:c r="E62" s="13"/>
      <x:c r="F62" s="13"/>
      <x:c r="G62" s="13"/>
      <x:c r="H62" s="13"/>
      <x:c r="I62" s="2"/>
      <x:c r="J62" s="2"/>
      <x:c r="K62" s="2"/>
      <x:c r="L62" s="2"/>
    </x:row>
    <x:row r="63" ht="23" customHeight="1">
      <x:c r="A63" s="2"/>
      <x:c r="B63" s="2"/>
      <x:c r="C63" s="2"/>
      <x:c r="D63" s="2"/>
      <x:c r="E63" s="2"/>
      <x:c r="F63" s="2"/>
      <x:c r="G63" s="2"/>
      <x:c r="H63" s="2"/>
      <x:c r="I63" s="2"/>
      <x:c r="J63" s="2"/>
      <x:c r="K63" s="2"/>
      <x:c r="L63" s="2"/>
    </x:row>
    <x:row r="64" ht="23" customHeight="1">
      <x:c r="A64" s="2"/>
      <x:c r="B64" s="2"/>
      <x:c r="C64" s="2"/>
      <x:c r="D64" s="2"/>
      <x:c r="E64" s="2"/>
      <x:c r="F64" s="2"/>
      <x:c r="G64" s="2"/>
      <x:c r="H64" s="2"/>
      <x:c r="I64" s="2"/>
      <x:c r="J64" s="2"/>
      <x:c r="K64" s="2"/>
      <x:c r="L64" s="2"/>
    </x:row>
    <x:row r="65" ht="23" customHeight="1">
      <x:c r="A65" s="2"/>
      <x:c r="B65" s="2"/>
      <x:c r="C65" s="2"/>
      <x:c r="D65" s="2"/>
      <x:c r="E65" s="2"/>
      <x:c r="F65" s="2"/>
      <x:c r="G65" s="2"/>
      <x:c r="H65" s="2"/>
      <x:c r="I65" s="2"/>
      <x:c r="J65" s="2"/>
      <x:c r="K65" s="2"/>
      <x:c r="L65" s="2"/>
    </x:row>
    <x:row r="66" ht="23" customHeight="1">
      <x:c r="A66" s="2"/>
      <x:c r="B66" s="2"/>
      <x:c r="C66" s="2"/>
      <x:c r="D66" s="2"/>
      <x:c r="E66" s="2"/>
      <x:c r="F66" s="2"/>
      <x:c r="G66" s="2"/>
      <x:c r="H66" s="2"/>
      <x:c r="I66" s="2"/>
      <x:c r="J66" s="2"/>
      <x:c r="K66" s="2"/>
      <x:c r="L66" s="2"/>
    </x:row>
    <x:row r="67" ht="23" customHeight="1">
      <x:c r="A67" s="2"/>
      <x:c r="B67" s="2"/>
      <x:c r="C67" s="2"/>
      <x:c r="D67" s="2"/>
      <x:c r="E67" s="2"/>
      <x:c r="F67" s="2"/>
      <x:c r="G67" s="2"/>
      <x:c r="H67" s="2"/>
      <x:c r="I67" s="2"/>
      <x:c r="J67" s="2"/>
      <x:c r="K67" s="2"/>
      <x:c r="L67" s="2"/>
    </x:row>
    <x:row r="68" ht="23" customHeight="1">
      <x:c r="A68" s="2"/>
      <x:c r="B68" s="2"/>
      <x:c r="C68" s="2"/>
      <x:c r="D68" s="2"/>
      <x:c r="E68" s="2"/>
      <x:c r="F68" s="2"/>
      <x:c r="G68" s="2"/>
      <x:c r="H68" s="2"/>
      <x:c r="I68" s="2"/>
      <x:c r="J68" s="2"/>
      <x:c r="K68" s="2"/>
      <x:c r="L68" s="2"/>
    </x:row>
    <x:row r="69" ht="23" customHeight="1">
      <x:c r="A69" s="2"/>
      <x:c r="B69" s="2"/>
      <x:c r="C69" s="2"/>
      <x:c r="D69" s="2"/>
      <x:c r="E69" s="2"/>
      <x:c r="F69" s="2"/>
      <x:c r="G69" s="2"/>
      <x:c r="H69" s="2"/>
      <x:c r="I69" s="2"/>
      <x:c r="J69" s="2"/>
      <x:c r="K69" s="2"/>
      <x:c r="L69" s="2"/>
    </x:row>
    <x:row r="70" ht="23" customHeight="1">
      <x:c r="A70" s="2"/>
      <x:c r="B70" s="2"/>
      <x:c r="C70" s="2"/>
      <x:c r="D70" s="2"/>
      <x:c r="E70" s="2"/>
      <x:c r="F70" s="2"/>
      <x:c r="G70" s="2"/>
      <x:c r="H70" s="2"/>
      <x:c r="I70" s="2"/>
      <x:c r="J70" s="2"/>
      <x:c r="K70" s="2"/>
      <x:c r="L70" s="2"/>
    </x:row>
    <x:row r="71" ht="23" customHeight="1">
      <x:c r="A71" s="2"/>
      <x:c r="B71" s="2"/>
      <x:c r="C71" s="2"/>
      <x:c r="D71" s="2"/>
      <x:c r="E71" s="2"/>
      <x:c r="F71" s="2"/>
      <x:c r="G71" s="2"/>
      <x:c r="H71" s="2"/>
      <x:c r="I71" s="2"/>
      <x:c r="J71" s="2"/>
      <x:c r="K71" s="2"/>
      <x:c r="L71" s="2"/>
    </x:row>
    <x:row r="72" ht="23" customHeight="1">
      <x:c r="A72" s="2"/>
      <x:c r="B72" s="2"/>
      <x:c r="C72" s="2"/>
      <x:c r="D72" s="2"/>
      <x:c r="E72" s="2"/>
      <x:c r="F72" s="2"/>
      <x:c r="G72" s="2"/>
      <x:c r="H72" s="2"/>
      <x:c r="I72" s="2"/>
      <x:c r="J72" s="2"/>
      <x:c r="K72" s="2"/>
      <x:c r="L72" s="2"/>
    </x:row>
    <x:row r="73" ht="23" customHeight="1">
      <x:c r="A73" s="2"/>
      <x:c r="B73" s="2"/>
      <x:c r="C73" s="2"/>
      <x:c r="D73" s="2"/>
      <x:c r="E73" s="2"/>
      <x:c r="F73" s="2"/>
      <x:c r="G73" s="2"/>
      <x:c r="H73" s="2"/>
      <x:c r="I73" s="2"/>
      <x:c r="J73" s="2"/>
      <x:c r="K73" s="2"/>
      <x:c r="L73" s="2"/>
    </x:row>
    <x:row r="74" ht="23" customHeight="1">
      <x:c r="A74" s="2"/>
      <x:c r="B74" s="2"/>
      <x:c r="C74" s="2"/>
      <x:c r="D74" s="2"/>
      <x:c r="E74" s="2"/>
      <x:c r="F74" s="2"/>
      <x:c r="G74" s="2"/>
      <x:c r="H74" s="2"/>
      <x:c r="I74" s="2"/>
      <x:c r="J74" s="2"/>
      <x:c r="K74" s="2"/>
      <x:c r="L74" s="2"/>
    </x:row>
    <x:row r="75" ht="23" customHeight="1">
      <x:c r="A75" s="2"/>
      <x:c r="B75" s="2"/>
      <x:c r="C75" s="2"/>
      <x:c r="D75" s="2"/>
      <x:c r="E75" s="2"/>
      <x:c r="F75" s="2"/>
      <x:c r="G75" s="2"/>
      <x:c r="H75" s="2"/>
      <x:c r="I75" s="2"/>
      <x:c r="J75" s="2"/>
      <x:c r="K75" s="2"/>
      <x:c r="L75" s="2"/>
    </x:row>
    <x:row r="76" ht="23" customHeight="1">
      <x:c r="A76" s="2"/>
      <x:c r="B76" s="2"/>
      <x:c r="C76" s="2"/>
      <x:c r="D76" s="2"/>
      <x:c r="E76" s="2"/>
      <x:c r="F76" s="2"/>
      <x:c r="G76" s="2"/>
      <x:c r="H76" s="2"/>
      <x:c r="I76" s="2"/>
      <x:c r="J76" s="2"/>
      <x:c r="K76" s="2"/>
      <x:c r="L76" s="2"/>
    </x:row>
    <x:row r="77" ht="23" customHeight="1">
      <x:c r="A77" s="2"/>
      <x:c r="B77" s="2"/>
      <x:c r="C77" s="2"/>
      <x:c r="D77" s="2"/>
      <x:c r="E77" s="2"/>
      <x:c r="F77" s="2"/>
      <x:c r="G77" s="2"/>
      <x:c r="H77" s="2"/>
      <x:c r="I77" s="2"/>
      <x:c r="J77" s="2"/>
      <x:c r="K77" s="2"/>
      <x:c r="L77" s="2"/>
    </x:row>
    <x:row r="78" ht="23" customHeight="1">
      <x:c r="A78" s="2"/>
      <x:c r="B78" s="2"/>
      <x:c r="C78" s="2"/>
      <x:c r="D78" s="2"/>
      <x:c r="E78" s="2"/>
      <x:c r="F78" s="2"/>
      <x:c r="G78" s="2"/>
      <x:c r="H78" s="2"/>
      <x:c r="I78" s="2"/>
      <x:c r="J78" s="2"/>
      <x:c r="K78" s="2"/>
      <x:c r="L78" s="2"/>
    </x:row>
    <x:row r="79" ht="23" customHeight="1">
      <x:c r="A79" s="2"/>
      <x:c r="B79" s="2"/>
      <x:c r="C79" s="2"/>
      <x:c r="D79" s="2"/>
      <x:c r="E79" s="2"/>
      <x:c r="F79" s="2"/>
      <x:c r="G79" s="2"/>
      <x:c r="H79" s="2"/>
      <x:c r="I79" s="2"/>
      <x:c r="J79" s="2"/>
      <x:c r="K79" s="2"/>
      <x:c r="L79" s="2"/>
    </x:row>
    <x:row r="80" ht="23" customHeight="1">
      <x:c r="A80" s="2"/>
      <x:c r="B80" s="2"/>
      <x:c r="C80" s="2"/>
      <x:c r="D80" s="2"/>
      <x:c r="E80" s="2"/>
      <x:c r="F80" s="2"/>
      <x:c r="G80" s="2"/>
      <x:c r="H80" s="2"/>
      <x:c r="I80" s="2"/>
      <x:c r="J80" s="2"/>
      <x:c r="K80" s="2"/>
      <x:c r="L80" s="2"/>
    </x:row>
    <x:row r="81" ht="23" customHeight="1">
      <x:c r="A81" s="2"/>
      <x:c r="B81" s="2"/>
      <x:c r="C81" s="2"/>
      <x:c r="D81" s="2"/>
      <x:c r="E81" s="2"/>
      <x:c r="F81" s="2"/>
      <x:c r="G81" s="2"/>
      <x:c r="H81" s="2"/>
      <x:c r="I81" s="2"/>
      <x:c r="J81" s="2"/>
      <x:c r="K81" s="2"/>
      <x:c r="L81" s="2"/>
    </x:row>
    <x:row r="82" ht="23" customHeight="1">
      <x:c r="A82" s="2"/>
      <x:c r="B82" s="2"/>
      <x:c r="C82" s="2"/>
      <x:c r="D82" s="2"/>
      <x:c r="E82" s="2"/>
      <x:c r="F82" s="2"/>
      <x:c r="G82" s="2"/>
      <x:c r="H82" s="2"/>
      <x:c r="I82" s="2"/>
      <x:c r="J82" s="2"/>
      <x:c r="K82" s="2"/>
      <x:c r="L82" s="2"/>
    </x:row>
    <x:row r="83" ht="23" customHeight="1">
      <x:c r="A83" s="2"/>
      <x:c r="B83" s="2"/>
      <x:c r="C83" s="2"/>
      <x:c r="D83" s="2"/>
      <x:c r="E83" s="2"/>
      <x:c r="F83" s="2"/>
      <x:c r="G83" s="2"/>
      <x:c r="H83" s="2"/>
      <x:c r="I83" s="2"/>
      <x:c r="J83" s="2"/>
      <x:c r="K83" s="2"/>
      <x:c r="L83" s="2"/>
    </x:row>
    <x:row r="84" ht="23" customHeight="1">
      <x:c r="A84" s="2"/>
      <x:c r="B84" s="2"/>
      <x:c r="C84" s="2"/>
      <x:c r="D84" s="2"/>
      <x:c r="E84" s="2"/>
      <x:c r="F84" s="2"/>
      <x:c r="G84" s="2"/>
      <x:c r="H84" s="2"/>
      <x:c r="I84" s="2"/>
      <x:c r="J84" s="2"/>
      <x:c r="K84" s="2"/>
      <x:c r="L84" s="2"/>
    </x:row>
  </x:sheetData>
  <x:mergeCells>
    <x:mergeCell ref="C36:D36"/>
    <x:mergeCell ref="G36:H36"/>
    <x:mergeCell ref="C37:D37"/>
    <x:mergeCell ref="G37:H37"/>
    <x:mergeCell ref="C38:D38"/>
    <x:mergeCell ref="G38:H38"/>
    <x:mergeCell ref="C39:D39"/>
    <x:mergeCell ref="G39:H39"/>
    <x:mergeCell ref="C40:D40"/>
    <x:mergeCell ref="G40:H40"/>
    <x:mergeCell ref="C41:D41"/>
    <x:mergeCell ref="G41:H41"/>
    <x:mergeCell ref="C42:D42"/>
    <x:mergeCell ref="G42:H42"/>
    <x:mergeCell ref="C43:D43"/>
    <x:mergeCell ref="G43:H43"/>
    <x:mergeCell ref="C44:D44"/>
    <x:mergeCell ref="G44:H44"/>
    <x:mergeCell ref="C45:D45"/>
    <x:mergeCell ref="G45:H45"/>
    <x:mergeCell ref="C46:D46"/>
    <x:mergeCell ref="G46:H46"/>
    <x:mergeCell ref="C51:D51"/>
    <x:mergeCell ref="C52:D52"/>
    <x:mergeCell ref="C53:D53"/>
    <x:mergeCell ref="C54:D54"/>
    <x:mergeCell ref="C55:D55"/>
    <x:mergeCell ref="C56:D56"/>
    <x:mergeCell ref="C57:D57"/>
    <x:mergeCell ref="C58:D58"/>
    <x:mergeCell ref="C59:D59"/>
    <x:mergeCell ref="C62:H62"/>
  </x:mergeCells>
  <x:pageMargins left="0.7" right="0.7" top="0.75" bottom="0.75" header="0.3" footer="0.3"/>
</x:worksheet>
</file>

<file path=xl/worksheets/sheet9.xml><?xml version="1.0" encoding="utf-8"?>
<x:worksheet xmlns:x="http://schemas.openxmlformats.org/spreadsheetml/2006/main">
  <x:sheetPr>
    <x:tabColor rgb="FFBCC8D3"/>
  </x:sheetPr>
  <x:sheetViews>
    <x:sheetView showGridLines="0" workbookViewId="0">
      <x:pane ySplit="7" topLeftCell="A8" activePane="bottomLeft" state="frozen"/>
    </x:sheetView>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52" hidden="0" customWidth="1"/>
    <x:col min="8" max="8" width="17" hidden="0" customWidth="1"/>
    <x:col min="9" max="9" width="3" hidden="0" customWidth="1"/>
    <x:col min="10" max="10" width="22" hidden="0" customWidth="1"/>
    <x:col min="11" max="11" width="22" hidden="0" customWidth="1"/>
    <x:col min="12" max="12" width="22" hidden="0" customWidth="1"/>
  </x:cols>
  <x:sheetData>
    <x:row r="1" ht="23" customHeight="1">
      <x:c r="A1" s="2"/>
      <x:c r="B1" s="2"/>
      <x:c r="C1" s="2"/>
      <x:c r="D1" s="2"/>
      <x:c r="E1" s="2"/>
      <x:c r="F1" s="2"/>
      <x:c r="G1" s="2"/>
      <x:c r="H1" s="2"/>
      <x:c r="I1" s="2"/>
      <x:c r="J1" s="2"/>
      <x:c r="K1" s="2"/>
      <x:c r="L1" s="2"/>
    </x:row>
    <x:row r="2" ht="35" customHeight="1">
      <x:c r="A2" s="2"/>
      <x:c r="B2" s="2"/>
      <x:c r="C2" s="3" t="str">
        <x:v>실제 검증 결과가 쌓이면 입력할 곳</x:v>
      </x:c>
      <x:c r="D2" s="2"/>
      <x:c r="E2" s="2"/>
      <x:c r="F2" s="2"/>
      <x:c r="G2" s="2"/>
      <x:c r="H2" s="2"/>
      <x:c r="I2" s="2"/>
      <x:c r="J2" s="2"/>
      <x:c r="K2" s="2"/>
      <x:c r="L2" s="2"/>
    </x:row>
    <x:row r="3" ht="23" customHeight="1">
      <x:c r="A3" s="2"/>
      <x:c r="B3" s="2"/>
      <x:c r="C3" s="2"/>
      <x:c r="D3" s="2"/>
      <x:c r="E3" s="2"/>
      <x:c r="F3" s="2"/>
      <x:c r="G3" s="2"/>
      <x:c r="H3" s="2"/>
      <x:c r="I3" s="2"/>
      <x:c r="J3" s="2"/>
      <x:c r="K3" s="2"/>
      <x:c r="L3" s="2"/>
    </x:row>
    <x:row r="4" ht="23" customHeight="1">
      <x:c r="A4" s="2"/>
      <x:c r="B4" s="2"/>
      <x:c r="C4" s="2" t="str">
        <x:v>선택 시나리오</x:v>
      </x:c>
      <x:c r="D4" s="2"/>
      <x:c r="E4" s="2"/>
      <x:c r="F4" s="51" t="str">
        <x:f>'01_가정'!H4</x:f>
        <x:v>기준</x:v>
      </x:c>
      <x:c r="G4" s="2"/>
      <x:c r="H4" s="2"/>
      <x:c r="I4" s="2"/>
      <x:c r="J4" s="2"/>
      <x:c r="K4" s="2"/>
      <x:c r="L4" s="2"/>
    </x:row>
    <x:row r="5" ht="36" customHeight="1">
      <x:c r="A5" s="2"/>
      <x:c r="B5" s="2"/>
      <x:c r="C5" s="13" t="str">
        <x:v>노란 칸은 실제 관측값만 입력합니다. 빈칸은 미관측이며 0과 다릅니다. 예약금과 제품 출고를 구분합니다. 입력해도 사업 가정을 자동으로 덮어쓰지 않습니다.</x:v>
      </x:c>
      <x:c r="D5" s="13"/>
      <x:c r="E5" s="13"/>
      <x:c r="F5" s="13"/>
      <x:c r="G5" s="13"/>
      <x:c r="H5" s="13"/>
      <x:c r="I5" s="13"/>
      <x:c r="J5" s="13"/>
      <x:c r="K5" s="13"/>
      <x:c r="L5" s="13"/>
    </x:row>
    <x:row r="6" ht="23" customHeight="1">
      <x:c r="A6" s="2"/>
      <x:c r="B6" s="2"/>
      <x:c r="C6" s="2"/>
      <x:c r="D6" s="2"/>
      <x:c r="E6" s="2"/>
      <x:c r="F6" s="2"/>
      <x:c r="G6" s="2"/>
      <x:c r="H6" s="2"/>
      <x:c r="I6" s="2"/>
      <x:c r="J6" s="2"/>
      <x:c r="K6" s="2"/>
      <x:c r="L6" s="2"/>
    </x:row>
    <x:row r="7" ht="30" customHeight="1">
      <x:c r="A7" s="2"/>
      <x:c r="B7" s="2"/>
      <x:c r="C7" s="17" t="str">
        <x:v>관측 항목</x:v>
      </x:c>
      <x:c r="D7" s="17" t="str">
        <x:v>단위</x:v>
      </x:c>
      <x:c r="E7" s="17" t="str"/>
      <x:c r="F7" s="17" t="str">
        <x:v>입력 또는 계산</x:v>
      </x:c>
      <x:c r="G7" s="17" t="str">
        <x:v>정의</x:v>
      </x:c>
      <x:c r="H7" s="2"/>
      <x:c r="I7" s="2"/>
      <x:c r="J7" s="2"/>
      <x:c r="K7" s="2"/>
      <x:c r="L7" s="2"/>
    </x:row>
    <x:row r="8" ht="23" customHeight="1">
      <x:c r="A8" s="2"/>
      <x:c r="B8" s="2"/>
      <x:c r="C8" s="2" t="str">
        <x:v>광고와 모집 지출</x:v>
      </x:c>
      <x:c r="D8" s="2" t="str">
        <x:v>원</x:v>
      </x:c>
      <x:c r="E8" s="2"/>
      <x:c r="F8" s="22"/>
      <x:c r="G8" s="2" t="str">
        <x:v>관측 기간 신규 고객 획득에 쓴 금액</x:v>
      </x:c>
      <x:c r="H8" s="2"/>
      <x:c r="I8" s="2"/>
      <x:c r="J8" s="2"/>
      <x:c r="K8" s="2"/>
      <x:c r="L8" s="2"/>
    </x:row>
    <x:row r="9" ht="23" customHeight="1">
      <x:c r="A9" s="2"/>
      <x:c r="B9" s="2"/>
      <x:c r="C9" s="2" t="str">
        <x:v>유효 방문 수</x:v>
      </x:c>
      <x:c r="D9" s="2" t="str">
        <x:v>명</x:v>
      </x:c>
      <x:c r="E9" s="2"/>
      <x:c r="F9" s="22"/>
      <x:c r="G9" s="2" t="str">
        <x:v>중복과 내부 테스트 제외</x:v>
      </x:c>
      <x:c r="H9" s="2"/>
      <x:c r="I9" s="2"/>
      <x:c r="J9" s="2"/>
      <x:c r="K9" s="2"/>
      <x:c r="L9" s="2"/>
    </x:row>
    <x:row r="10" ht="23" customHeight="1">
      <x:c r="A10" s="2"/>
      <x:c r="B10" s="2"/>
      <x:c r="C10" s="2" t="str">
        <x:v>환불 가능한 예약자</x:v>
      </x:c>
      <x:c r="D10" s="2" t="str">
        <x:v>명</x:v>
      </x:c>
      <x:c r="E10" s="2"/>
      <x:c r="F10" s="22"/>
      <x:c r="G10" s="2" t="str">
        <x:v>제품 매출로 인정하지 않음</x:v>
      </x:c>
      <x:c r="H10" s="2"/>
      <x:c r="I10" s="2"/>
      <x:c r="J10" s="2"/>
      <x:c r="K10" s="2"/>
      <x:c r="L10" s="2"/>
    </x:row>
    <x:row r="11" ht="23" customHeight="1">
      <x:c r="A11" s="2"/>
      <x:c r="B11" s="2"/>
      <x:c r="C11" s="2" t="str">
        <x:v>예약 취소자</x:v>
      </x:c>
      <x:c r="D11" s="2" t="str">
        <x:v>명</x:v>
      </x:c>
      <x:c r="E11" s="2"/>
      <x:c r="F11" s="22"/>
      <x:c r="G11" s="2" t="str">
        <x:v>관측 기간 내 취소</x:v>
      </x:c>
      <x:c r="H11" s="2"/>
      <x:c r="I11" s="2"/>
      <x:c r="J11" s="2"/>
      <x:c r="K11" s="2"/>
      <x:c r="L11" s="2"/>
    </x:row>
    <x:row r="12" ht="23" customHeight="1">
      <x:c r="A12" s="2"/>
      <x:c r="B12" s="2"/>
      <x:c r="C12" s="2" t="str">
        <x:v>실제 첫 제품 출고</x:v>
      </x:c>
      <x:c r="D12" s="2" t="str">
        <x:v>명</x:v>
      </x:c>
      <x:c r="E12" s="2"/>
      <x:c r="F12" s="22"/>
      <x:c r="G12" s="2" t="str">
        <x:v>주문 후 첫 출고까지 완료</x:v>
      </x:c>
      <x:c r="H12" s="2"/>
      <x:c r="I12" s="2"/>
      <x:c r="J12" s="2"/>
      <x:c r="K12" s="2"/>
      <x:c r="L12" s="2"/>
    </x:row>
    <x:row r="13" ht="23" customHeight="1">
      <x:c r="A13" s="2"/>
      <x:c r="B13" s="2"/>
      <x:c r="C13" s="2" t="str">
        <x:v>제품 전액 환불</x:v>
      </x:c>
      <x:c r="D13" s="2" t="str">
        <x:v>명</x:v>
      </x:c>
      <x:c r="E13" s="2"/>
      <x:c r="F13" s="22"/>
      <x:c r="G13" s="2" t="str">
        <x:v>출고 집단과 같은 추적 기간</x:v>
      </x:c>
      <x:c r="H13" s="2"/>
      <x:c r="I13" s="2"/>
      <x:c r="J13" s="2"/>
      <x:c r="K13" s="2"/>
      <x:c r="L13" s="2"/>
    </x:row>
    <x:row r="14" ht="23" customHeight="1">
      <x:c r="A14" s="2"/>
      <x:c r="B14" s="2"/>
      <x:c r="C14" s="2" t="str">
        <x:v>재구매 관측 대상</x:v>
      </x:c>
      <x:c r="D14" s="2" t="str">
        <x:v>명</x:v>
      </x:c>
      <x:c r="E14" s="2"/>
      <x:c r="F14" s="22"/>
      <x:c r="G14" s="2" t="str">
        <x:v>관측 기간을 모두 지난 적격 고객</x:v>
      </x:c>
      <x:c r="H14" s="2"/>
      <x:c r="I14" s="2"/>
      <x:c r="J14" s="2"/>
      <x:c r="K14" s="2"/>
      <x:c r="L14" s="2"/>
    </x:row>
    <x:row r="15" ht="23" customHeight="1">
      <x:c r="A15" s="2"/>
      <x:c r="B15" s="2"/>
      <x:c r="C15" s="2" t="str">
        <x:v>실제 리필 재구매자</x:v>
      </x:c>
      <x:c r="D15" s="2" t="str">
        <x:v>명</x:v>
      </x:c>
      <x:c r="E15" s="2"/>
      <x:c r="F15" s="22"/>
      <x:c r="G15" s="2" t="str">
        <x:v>무상 증정 제외 유료 재구매</x:v>
      </x:c>
      <x:c r="H15" s="2"/>
      <x:c r="I15" s="2"/>
      <x:c r="J15" s="2"/>
      <x:c r="K15" s="2"/>
      <x:c r="L15" s="2"/>
    </x:row>
    <x:row r="16" ht="23" customHeight="1">
      <x:c r="A16" s="2"/>
      <x:c r="B16" s="2"/>
      <x:c r="C16" s="2" t="str">
        <x:v>본체 실결제가</x:v>
      </x:c>
      <x:c r="D16" s="2" t="str">
        <x:v>원</x:v>
      </x:c>
      <x:c r="E16" s="2"/>
      <x:c r="F16" s="22"/>
      <x:c r="G16" s="2" t="str">
        <x:v>VAT 포함, 프로모션 명시</x:v>
      </x:c>
      <x:c r="H16" s="2"/>
      <x:c r="I16" s="2"/>
      <x:c r="J16" s="2"/>
      <x:c r="K16" s="2"/>
      <x:c r="L16" s="2"/>
    </x:row>
    <x:row r="17" ht="23" customHeight="1">
      <x:c r="A17" s="2"/>
      <x:c r="B17" s="2"/>
      <x:c r="C17" s="2" t="str">
        <x:v>검수 후 완제품 원가</x:v>
      </x:c>
      <x:c r="D17" s="2" t="str">
        <x:v>원</x:v>
      </x:c>
      <x:c r="E17" s="2"/>
      <x:c r="F17" s="22"/>
      <x:c r="G17" s="2" t="str">
        <x:v>견적 또는 실제 BOM 공급가</x:v>
      </x:c>
      <x:c r="H17" s="2"/>
      <x:c r="I17" s="2"/>
      <x:c r="J17" s="2"/>
      <x:c r="K17" s="2"/>
      <x:c r="L17" s="2"/>
    </x:row>
    <x:row r="18" ht="23" customHeight="1">
      <x:c r="A18" s="2"/>
      <x:c r="B18" s="2"/>
      <x:c r="C18" s="2" t="str">
        <x:v>사용성 평가 참여자</x:v>
      </x:c>
      <x:c r="D18" s="2" t="str">
        <x:v>명</x:v>
      </x:c>
      <x:c r="E18" s="2"/>
      <x:c r="F18" s="22"/>
      <x:c r="G18" s="2" t="str">
        <x:v>안전 검토와 동의 완료</x:v>
      </x:c>
      <x:c r="H18" s="2"/>
      <x:c r="I18" s="2"/>
      <x:c r="J18" s="2"/>
      <x:c r="K18" s="2"/>
      <x:c r="L18" s="2"/>
    </x:row>
    <x:row r="19" ht="23" customHeight="1">
      <x:c r="A19" s="2"/>
      <x:c r="B19" s="2"/>
      <x:c r="C19" s="2" t="str">
        <x:v>독립 착용 완수자</x:v>
      </x:c>
      <x:c r="D19" s="2" t="str">
        <x:v>명</x:v>
      </x:c>
      <x:c r="E19" s="2"/>
      <x:c r="F19" s="22"/>
      <x:c r="G19" s="2" t="str">
        <x:v>설정된 과제를 도움 없이 완료</x:v>
      </x:c>
      <x:c r="H19" s="2"/>
      <x:c r="I19" s="2"/>
      <x:c r="J19" s="2"/>
      <x:c r="K19" s="2"/>
      <x:c r="L19" s="2"/>
    </x:row>
    <x:row r="20" ht="23" customHeight="1">
      <x:c r="A20" s="2"/>
      <x:c r="B20" s="2"/>
      <x:c r="C20" s="2" t="str">
        <x:v>보고된 안전 관련 사건</x:v>
      </x:c>
      <x:c r="D20" s="2" t="str">
        <x:v>건</x:v>
      </x:c>
      <x:c r="E20" s="2"/>
      <x:c r="F20" s="22"/>
      <x:c r="G20" s="2" t="str">
        <x:v>0도 직접 기록한 경우만 입력</x:v>
      </x:c>
      <x:c r="H20" s="2"/>
      <x:c r="I20" s="2"/>
      <x:c r="J20" s="2"/>
      <x:c r="K20" s="2"/>
      <x:c r="L20" s="2"/>
    </x:row>
    <x:row r="21" ht="23" customHeight="1">
      <x:c r="A21" s="2"/>
      <x:c r="B21" s="2"/>
      <x:c r="C21" s="2"/>
      <x:c r="D21" s="2"/>
      <x:c r="E21" s="2"/>
      <x:c r="F21" s="2"/>
      <x:c r="G21" s="2"/>
      <x:c r="H21" s="2"/>
      <x:c r="I21" s="2"/>
      <x:c r="J21" s="2"/>
      <x:c r="K21" s="2"/>
      <x:c r="L21" s="2"/>
    </x:row>
    <x:row r="22" ht="23" customHeight="1">
      <x:c r="A22" s="2"/>
      <x:c r="B22" s="2"/>
      <x:c r="C22" s="2"/>
      <x:c r="D22" s="2"/>
      <x:c r="E22" s="2"/>
      <x:c r="F22" s="2"/>
      <x:c r="G22" s="2"/>
      <x:c r="H22" s="2"/>
      <x:c r="I22" s="2"/>
      <x:c r="J22" s="2"/>
      <x:c r="K22" s="2"/>
      <x:c r="L22" s="2"/>
    </x:row>
    <x:row r="23" ht="23" customHeight="1">
      <x:c r="A23" s="2"/>
      <x:c r="B23" s="2"/>
      <x:c r="C23" s="2"/>
      <x:c r="D23" s="2"/>
      <x:c r="E23" s="2"/>
      <x:c r="F23" s="2"/>
      <x:c r="G23" s="2"/>
      <x:c r="H23" s="2"/>
      <x:c r="I23" s="2"/>
      <x:c r="J23" s="2"/>
      <x:c r="K23" s="2"/>
      <x:c r="L23" s="2"/>
    </x:row>
    <x:row r="24" ht="23" customHeight="1">
      <x:c r="A24" s="2"/>
      <x:c r="B24" s="2"/>
      <x:c r="C24" s="2" t="str">
        <x:v>실제 출고 CAC</x:v>
      </x:c>
      <x:c r="D24" s="2" t="str">
        <x:v>원</x:v>
      </x:c>
      <x:c r="E24" s="2"/>
      <x:c r="F24" s="33" t="str">
        <x:f>IF(COUNT(F8,F12)&lt;2,"미관측",IF(F12=0,"출고 없음",F8/F12))</x:f>
        <x:v>미관측</x:v>
      </x:c>
      <x:c r="G24" s="2"/>
      <x:c r="H24" s="2"/>
      <x:c r="I24" s="2"/>
      <x:c r="J24" s="2"/>
      <x:c r="K24" s="2"/>
      <x:c r="L24" s="2"/>
    </x:row>
    <x:row r="25" ht="23" customHeight="1">
      <x:c r="A25" s="2"/>
      <x:c r="B25" s="2"/>
      <x:c r="C25" s="2" t="str">
        <x:v>출고 전환율</x:v>
      </x:c>
      <x:c r="D25" s="2" t="str">
        <x:v>%</x:v>
      </x:c>
      <x:c r="E25" s="2"/>
      <x:c r="F25" s="34" t="str">
        <x:f>IF(COUNT(F9,F12)&lt;2,"미관측",IF(F9=0,"유입 없음",F12/F9))</x:f>
        <x:v>미관측</x:v>
      </x:c>
      <x:c r="G25" s="2"/>
      <x:c r="H25" s="2"/>
      <x:c r="I25" s="2"/>
      <x:c r="J25" s="2"/>
      <x:c r="K25" s="2"/>
      <x:c r="L25" s="2"/>
    </x:row>
    <x:row r="26" ht="23" customHeight="1">
      <x:c r="A26" s="2"/>
      <x:c r="B26" s="2"/>
      <x:c r="C26" s="2" t="str">
        <x:v>제품 환불률</x:v>
      </x:c>
      <x:c r="D26" s="2" t="str">
        <x:v>%</x:v>
      </x:c>
      <x:c r="E26" s="2"/>
      <x:c r="F26" s="34" t="str">
        <x:f>IF(COUNT(F12,F13)&lt;2,"미관측",IF(F12=0,"출고 없음",F13/F12))</x:f>
        <x:v>미관측</x:v>
      </x:c>
      <x:c r="G26" s="2"/>
      <x:c r="H26" s="2"/>
      <x:c r="I26" s="2"/>
      <x:c r="J26" s="2"/>
      <x:c r="K26" s="2"/>
      <x:c r="L26" s="2"/>
    </x:row>
    <x:row r="27" ht="23" customHeight="1">
      <x:c r="A27" s="2"/>
      <x:c r="B27" s="2"/>
      <x:c r="C27" s="2" t="str">
        <x:v>리필 재구매율</x:v>
      </x:c>
      <x:c r="D27" s="2" t="str">
        <x:v>%</x:v>
      </x:c>
      <x:c r="E27" s="2"/>
      <x:c r="F27" s="34" t="str">
        <x:f>IF(COUNT(F14,F15)&lt;2,"미관측",IF(F14=0,"적격자 없음",F15/F14))</x:f>
        <x:v>미관측</x:v>
      </x:c>
      <x:c r="G27" s="2"/>
      <x:c r="H27" s="2"/>
      <x:c r="I27" s="2"/>
      <x:c r="J27" s="2"/>
      <x:c r="K27" s="2"/>
      <x:c r="L27" s="2"/>
    </x:row>
    <x:row r="28" ht="23" customHeight="1">
      <x:c r="A28" s="2"/>
      <x:c r="B28" s="2"/>
      <x:c r="C28" s="2" t="str">
        <x:v>독립 착용 완수율</x:v>
      </x:c>
      <x:c r="D28" s="2" t="str">
        <x:v>%</x:v>
      </x:c>
      <x:c r="E28" s="2"/>
      <x:c r="F28" s="34" t="str">
        <x:f>IF(COUNT(F18,F19)&lt;2,"미관측",IF(F18=0,"참여 없음",F19/F18))</x:f>
        <x:v>미관측</x:v>
      </x:c>
      <x:c r="G28" s="2"/>
      <x:c r="H28" s="2"/>
      <x:c r="I28" s="2"/>
      <x:c r="J28" s="2"/>
      <x:c r="K28" s="2"/>
      <x:c r="L28" s="2"/>
    </x:row>
    <x:row r="29" ht="23" customHeight="1">
      <x:c r="A29" s="2"/>
      <x:c r="B29" s="2"/>
      <x:c r="C29" s="2" t="str">
        <x:v>예약 취소율</x:v>
      </x:c>
      <x:c r="D29" s="2" t="str">
        <x:v>%</x:v>
      </x:c>
      <x:c r="E29" s="2"/>
      <x:c r="F29" s="34" t="str">
        <x:f>IF(COUNT(F10,F11)&lt;2,"미관측",IF(F10=0,"예약 없음",F11/F10))</x:f>
        <x:v>미관측</x:v>
      </x:c>
      <x:c r="G29" s="2"/>
      <x:c r="H29" s="2"/>
      <x:c r="I29" s="2"/>
      <x:c r="J29" s="2"/>
      <x:c r="K29" s="2"/>
      <x:c r="L29" s="2"/>
    </x:row>
    <x:row r="30" ht="23" customHeight="1">
      <x:c r="A30" s="2"/>
      <x:c r="B30" s="2"/>
      <x:c r="C30" s="2"/>
      <x:c r="D30" s="2"/>
      <x:c r="E30" s="2"/>
      <x:c r="F30" s="2"/>
      <x:c r="G30" s="2"/>
      <x:c r="H30" s="2"/>
      <x:c r="I30" s="2"/>
      <x:c r="J30" s="2"/>
      <x:c r="K30" s="2"/>
      <x:c r="L30" s="2"/>
    </x:row>
    <x:row r="31" ht="23" customHeight="1">
      <x:c r="A31" s="2"/>
      <x:c r="B31" s="2"/>
      <x:c r="C31" s="2" t="str">
        <x:v>선택 가정의 허용 CAC</x:v>
      </x:c>
      <x:c r="D31" s="2" t="str">
        <x:v>원</x:v>
      </x:c>
      <x:c r="E31" s="2"/>
      <x:c r="F31" s="31" t="n">
        <x:f>'02_단위경제'!F23</x:f>
        <x:v>37525.781818181815</x:v>
      </x:c>
      <x:c r="G31" s="2"/>
      <x:c r="H31" s="2"/>
      <x:c r="I31" s="2"/>
      <x:c r="J31" s="2"/>
      <x:c r="K31" s="2"/>
      <x:c r="L31" s="2"/>
    </x:row>
    <x:row r="32" ht="35" customHeight="1">
      <x:c r="A32" s="2"/>
      <x:c r="B32" s="2"/>
      <x:c r="C32" s="2" t="str">
        <x:v>CAC 비교</x:v>
      </x:c>
      <x:c r="D32" s="2" t="str">
        <x:v>판단</x:v>
      </x:c>
      <x:c r="E32" s="2"/>
      <x:c r="F32" s="47" t="str">
        <x:f>IF(NOT(ISNUMBER(F24)),"실제 출고 관측 필요",IF(F24&lt;=F31,"경제성 추가 검토 가능","가격 원가 유입 개선 필요"))</x:f>
        <x:v>실제 출고 관측 필요</x:v>
      </x:c>
      <x:c r="G32" s="13"/>
      <x:c r="H32" s="2"/>
      <x:c r="I32" s="2"/>
      <x:c r="J32" s="2"/>
      <x:c r="K32" s="2"/>
      <x:c r="L32" s="2"/>
    </x:row>
    <x:row r="33" ht="23" customHeight="1">
      <x:c r="A33" s="2"/>
      <x:c r="B33" s="2"/>
      <x:c r="C33" s="2"/>
      <x:c r="D33" s="2"/>
      <x:c r="E33" s="2"/>
      <x:c r="F33" s="2"/>
      <x:c r="G33" s="2"/>
      <x:c r="H33" s="2"/>
      <x:c r="I33" s="2"/>
      <x:c r="J33" s="2"/>
      <x:c r="K33" s="2"/>
      <x:c r="L33" s="2"/>
    </x:row>
    <x:row r="34" ht="23" customHeight="1">
      <x:c r="A34" s="2"/>
      <x:c r="B34" s="2"/>
      <x:c r="C34" s="2"/>
      <x:c r="D34" s="2"/>
      <x:c r="E34" s="2"/>
      <x:c r="F34" s="2"/>
      <x:c r="G34" s="2"/>
      <x:c r="H34" s="2"/>
      <x:c r="I34" s="2"/>
      <x:c r="J34" s="2"/>
      <x:c r="K34" s="2"/>
      <x:c r="L34" s="2"/>
    </x:row>
    <x:row r="35" ht="23" customHeight="1">
      <x:c r="A35" s="2"/>
      <x:c r="B35" s="2"/>
      <x:c r="C35" s="2"/>
      <x:c r="D35" s="2"/>
      <x:c r="E35" s="2"/>
      <x:c r="F35" s="2"/>
      <x:c r="G35" s="2"/>
      <x:c r="H35" s="2"/>
      <x:c r="I35" s="2"/>
      <x:c r="J35" s="2"/>
      <x:c r="K35" s="2"/>
      <x:c r="L35" s="2"/>
    </x:row>
    <x:row r="36" ht="36" customHeight="1">
      <x:c r="A36" s="2"/>
      <x:c r="B36" s="2"/>
      <x:c r="C36" s="13" t="str">
        <x:v>제품 판매 준비가 완료되기 전에는 예약 수요만 평가합니다. 예약 CAC를 위 실제 출고 CAC에 넣지 않습니다. 동일 가격과 채널 및 환불 관측 기간에서 비교하세요.</x:v>
      </x:c>
      <x:c r="D36" s="13"/>
      <x:c r="E36" s="13"/>
      <x:c r="F36" s="13"/>
      <x:c r="G36" s="13"/>
      <x:c r="H36" s="13"/>
      <x:c r="I36" s="13"/>
      <x:c r="J36" s="13"/>
      <x:c r="K36" s="13"/>
      <x:c r="L36" s="13"/>
    </x:row>
    <x:row r="37" ht="23" customHeight="1">
      <x:c r="A37" s="2"/>
      <x:c r="B37" s="2"/>
      <x:c r="C37" s="2"/>
      <x:c r="D37" s="2"/>
      <x:c r="E37" s="2"/>
      <x:c r="F37" s="2"/>
      <x:c r="G37" s="2"/>
      <x:c r="H37" s="2"/>
      <x:c r="I37" s="2"/>
      <x:c r="J37" s="2"/>
      <x:c r="K37" s="2"/>
      <x:c r="L37" s="2"/>
    </x:row>
    <x:row r="38" ht="36" customHeight="1">
      <x:c r="A38" s="2"/>
      <x:c r="B38" s="2"/>
      <x:c r="C38" s="13" t="str">
        <x:v>소수 표본은 추정 오차가 큽니다. 예를 들어 24명 중 20명 완수는 83%지만 모집단 83%를 보장하지 않습니다. 체험과 유효성은 별도 판단합니다.</x:v>
      </x:c>
      <x:c r="D38" s="13"/>
      <x:c r="E38" s="13"/>
      <x:c r="F38" s="13"/>
      <x:c r="G38" s="13"/>
      <x:c r="H38" s="13"/>
      <x:c r="I38" s="13"/>
      <x:c r="J38" s="13"/>
      <x:c r="K38" s="13"/>
      <x:c r="L38" s="13"/>
    </x:row>
    <x:row r="39" ht="23" customHeight="1">
      <x:c r="A39" s="2"/>
      <x:c r="B39" s="2"/>
      <x:c r="C39" s="2"/>
      <x:c r="D39" s="2"/>
      <x:c r="E39" s="2"/>
      <x:c r="F39" s="2"/>
      <x:c r="G39" s="2"/>
      <x:c r="H39" s="2"/>
      <x:c r="I39" s="2"/>
      <x:c r="J39" s="2"/>
      <x:c r="K39" s="2"/>
      <x:c r="L39" s="2"/>
    </x:row>
    <x:row r="40" ht="23" customHeight="1">
      <x:c r="A40" s="2"/>
      <x:c r="B40" s="2"/>
      <x:c r="C40" s="2"/>
      <x:c r="D40" s="2"/>
      <x:c r="E40" s="2"/>
      <x:c r="F40" s="2"/>
      <x:c r="G40" s="2"/>
      <x:c r="H40" s="2"/>
      <x:c r="I40" s="2"/>
      <x:c r="J40" s="2"/>
      <x:c r="K40" s="2"/>
      <x:c r="L40" s="2"/>
    </x:row>
    <x:row r="41" ht="23" customHeight="1">
      <x:c r="A41" s="2"/>
      <x:c r="B41" s="2"/>
      <x:c r="C41" s="2"/>
      <x:c r="D41" s="2"/>
      <x:c r="E41" s="2"/>
      <x:c r="F41" s="2"/>
      <x:c r="G41" s="2"/>
      <x:c r="H41" s="2"/>
      <x:c r="I41" s="2"/>
      <x:c r="J41" s="2"/>
      <x:c r="K41" s="2"/>
      <x:c r="L41" s="2"/>
    </x:row>
    <x:row r="42" ht="23" customHeight="1">
      <x:c r="A42" s="2"/>
      <x:c r="B42" s="2"/>
      <x:c r="C42" s="2"/>
      <x:c r="D42" s="2"/>
      <x:c r="E42" s="2"/>
      <x:c r="F42" s="2"/>
      <x:c r="G42" s="2"/>
      <x:c r="H42" s="2"/>
      <x:c r="I42" s="2"/>
      <x:c r="J42" s="2"/>
      <x:c r="K42" s="2"/>
      <x:c r="L42" s="2"/>
    </x:row>
    <x:row r="43" ht="23" customHeight="1">
      <x:c r="A43" s="2"/>
      <x:c r="B43" s="2"/>
      <x:c r="C43" s="2"/>
      <x:c r="D43" s="2"/>
      <x:c r="E43" s="2"/>
      <x:c r="F43" s="2"/>
      <x:c r="G43" s="2"/>
      <x:c r="H43" s="2"/>
      <x:c r="I43" s="2"/>
      <x:c r="J43" s="2"/>
      <x:c r="K43" s="2"/>
      <x:c r="L43" s="2"/>
    </x:row>
    <x:row r="44" ht="23" customHeight="1">
      <x:c r="A44" s="2"/>
      <x:c r="B44" s="2"/>
      <x:c r="C44" s="2"/>
      <x:c r="D44" s="2"/>
      <x:c r="E44" s="2"/>
      <x:c r="F44" s="2"/>
      <x:c r="G44" s="2"/>
      <x:c r="H44" s="2"/>
      <x:c r="I44" s="2"/>
      <x:c r="J44" s="2"/>
      <x:c r="K44" s="2"/>
      <x:c r="L44" s="2"/>
    </x:row>
    <x:row r="45" ht="23" customHeight="1">
      <x:c r="A45" s="2"/>
      <x:c r="B45" s="2"/>
      <x:c r="C45" s="2"/>
      <x:c r="D45" s="2"/>
      <x:c r="E45" s="2"/>
      <x:c r="F45" s="2"/>
      <x:c r="G45" s="2"/>
      <x:c r="H45" s="2"/>
      <x:c r="I45" s="2"/>
      <x:c r="J45" s="2"/>
      <x:c r="K45" s="2"/>
      <x:c r="L45" s="2"/>
    </x:row>
    <x:row r="46" ht="23" customHeight="1">
      <x:c r="A46" s="2"/>
      <x:c r="B46" s="2"/>
      <x:c r="C46" s="2"/>
      <x:c r="D46" s="2"/>
      <x:c r="E46" s="2"/>
      <x:c r="F46" s="2"/>
      <x:c r="G46" s="2"/>
      <x:c r="H46" s="2"/>
      <x:c r="I46" s="2"/>
      <x:c r="J46" s="2"/>
      <x:c r="K46" s="2"/>
      <x:c r="L46" s="2"/>
    </x:row>
    <x:row r="47" ht="23" customHeight="1">
      <x:c r="A47" s="2"/>
      <x:c r="B47" s="2"/>
      <x:c r="C47" s="2"/>
      <x:c r="D47" s="2"/>
      <x:c r="E47" s="2"/>
      <x:c r="F47" s="2"/>
      <x:c r="G47" s="2"/>
      <x:c r="H47" s="2"/>
      <x:c r="I47" s="2"/>
      <x:c r="J47" s="2"/>
      <x:c r="K47" s="2"/>
      <x:c r="L47" s="2"/>
    </x:row>
    <x:row r="48" ht="23" customHeight="1">
      <x:c r="A48" s="2"/>
      <x:c r="B48" s="2"/>
      <x:c r="C48" s="2"/>
      <x:c r="D48" s="2"/>
      <x:c r="E48" s="2"/>
      <x:c r="F48" s="2"/>
      <x:c r="G48" s="2"/>
      <x:c r="H48" s="2"/>
      <x:c r="I48" s="2"/>
      <x:c r="J48" s="2"/>
      <x:c r="K48" s="2"/>
      <x:c r="L48" s="2"/>
    </x:row>
    <x:row r="49" ht="23" customHeight="1">
      <x:c r="A49" s="2"/>
      <x:c r="B49" s="2"/>
      <x:c r="C49" s="2"/>
      <x:c r="D49" s="2"/>
      <x:c r="E49" s="2"/>
      <x:c r="F49" s="2"/>
      <x:c r="G49" s="2"/>
      <x:c r="H49" s="2"/>
      <x:c r="I49" s="2"/>
      <x:c r="J49" s="2"/>
      <x:c r="K49" s="2"/>
      <x:c r="L49" s="2"/>
    </x:row>
  </x:sheetData>
  <x:mergeCells>
    <x:mergeCell ref="C5:L5"/>
    <x:mergeCell ref="F32:G32"/>
    <x:mergeCell ref="C36:L36"/>
    <x:mergeCell ref="C38:L38"/>
  </x:mergeCells>
  <x:pageMargins left="0.7" right="0.7" top="0.75" bottom="0.75" header="0.3" footer="0.3"/>
</x:worksheet>
</file>

<file path=xl/worksheets/sheet10.xml><?xml version="1.0" encoding="utf-8"?>
<x:worksheet xmlns:x="http://schemas.openxmlformats.org/spreadsheetml/2006/main">
  <x:sheetPr>
    <x:tabColor rgb="FFBCC8D3"/>
  </x:sheetPr>
  <x:sheetViews>
    <x:sheetView showGridLines="0" workbookViewId="0"/>
  </x:sheetViews>
  <x:sheetFormatPr defaultRowHeight="15"/>
  <x:cols>
    <x:col min="1" max="1" width="2.200000047683716" hidden="0" customWidth="1"/>
    <x:col min="2" max="2" width="2.200000047683716" hidden="0" customWidth="1"/>
    <x:col min="3" max="3" width="35" hidden="0" customWidth="1"/>
    <x:col min="4" max="4" width="12" hidden="0" customWidth="1"/>
    <x:col min="5" max="5" width="3" hidden="0" customWidth="1"/>
    <x:col min="6" max="6" width="17" hidden="0" customWidth="1"/>
    <x:col min="7" max="7" width="17" hidden="0" customWidth="1"/>
    <x:col min="8" max="8" width="17" hidden="0" customWidth="1"/>
    <x:col min="9" max="9" width="3"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row>
    <x:row r="2" ht="35" customHeight="1">
      <x:c r="A2" s="2"/>
      <x:c r="B2" s="2"/>
      <x:c r="C2" s="3" t="str">
        <x:v>계산과 연결 검증</x:v>
      </x:c>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ht="23" customHeight="1">
      <x:c r="A3" s="2"/>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ht="23" customHeight="1">
      <x:c r="A4" s="2"/>
      <x:c r="B4" s="2"/>
      <x:c r="C4" s="2" t="str">
        <x:v>선택 시나리오</x:v>
      </x:c>
      <x:c r="D4" s="2"/>
      <x:c r="E4" s="2"/>
      <x:c r="F4" s="51" t="str">
        <x:f>'01_가정'!H4</x:f>
        <x:v>기준</x:v>
      </x:c>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ht="23"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ht="30" customHeight="1">
      <x:c r="A6" s="2"/>
      <x:c r="B6" s="2"/>
      <x:c r="C6" s="17" t="str">
        <x:v>검증 항목</x:v>
      </x:c>
      <x:c r="D6" s="17" t="str">
        <x:v>단위</x:v>
      </x:c>
      <x:c r="E6" s="17" t="str"/>
      <x:c r="F6" s="17" t="str">
        <x:v>최대 차이 또는 상태</x:v>
      </x:c>
      <x:c r="G6" s="2"/>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ht="23"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ht="23" customHeight="1">
      <x:c r="A8" s="2"/>
      <x:c r="B8" s="2"/>
      <x:c r="C8" s="2" t="str">
        <x:v>재고 수량 수불 차이</x:v>
      </x:c>
      <x:c r="D8" s="2"/>
      <x:c r="E8" s="2"/>
      <x:c r="F8" s="36" t="n">
        <x:f>MAX(MAX(J8:AS8),-MIN(J8:AS8))</x:f>
        <x:v>0</x:v>
      </x:c>
      <x:c r="G8" s="9" t="str">
        <x:f>IF(F8&lt;0.01,"정상","확인 필요")</x:f>
        <x:v>정상</x:v>
      </x:c>
      <x:c r="H8" s="2"/>
      <x:c r="I8" s="2"/>
      <x:c r="J8" s="29" t="n">
        <x:f>'04_재고현금'!J9+'04_재고현금'!J10-'04_재고현금'!J8-'04_재고현금'!J11</x:f>
        <x:v>0</x:v>
      </x:c>
      <x:c r="K8" s="29" t="n">
        <x:f>'04_재고현금'!K9+'04_재고현금'!K10-'04_재고현금'!K8-'04_재고현금'!K11</x:f>
        <x:v>0</x:v>
      </x:c>
      <x:c r="L8" s="29" t="n">
        <x:f>'04_재고현금'!L9+'04_재고현금'!L10-'04_재고현금'!L8-'04_재고현금'!L11</x:f>
        <x:v>0</x:v>
      </x:c>
      <x:c r="M8" s="29" t="n">
        <x:f>'04_재고현금'!M9+'04_재고현금'!M10-'04_재고현금'!M8-'04_재고현금'!M11</x:f>
        <x:v>0</x:v>
      </x:c>
      <x:c r="N8" s="29" t="n">
        <x:f>'04_재고현금'!N9+'04_재고현금'!N10-'04_재고현금'!N8-'04_재고현금'!N11</x:f>
        <x:v>0</x:v>
      </x:c>
      <x:c r="O8" s="29" t="n">
        <x:f>'04_재고현금'!O9+'04_재고현금'!O10-'04_재고현금'!O8-'04_재고현금'!O11</x:f>
        <x:v>0</x:v>
      </x:c>
      <x:c r="P8" s="29" t="n">
        <x:f>'04_재고현금'!P9+'04_재고현금'!P10-'04_재고현금'!P8-'04_재고현금'!P11</x:f>
        <x:v>0</x:v>
      </x:c>
      <x:c r="Q8" s="29" t="n">
        <x:f>'04_재고현금'!Q9+'04_재고현금'!Q10-'04_재고현금'!Q8-'04_재고현금'!Q11</x:f>
        <x:v>0</x:v>
      </x:c>
      <x:c r="R8" s="29" t="n">
        <x:f>'04_재고현금'!R9+'04_재고현금'!R10-'04_재고현금'!R8-'04_재고현금'!R11</x:f>
        <x:v>0</x:v>
      </x:c>
      <x:c r="S8" s="29" t="n">
        <x:f>'04_재고현금'!S9+'04_재고현금'!S10-'04_재고현금'!S8-'04_재고현금'!S11</x:f>
        <x:v>0</x:v>
      </x:c>
      <x:c r="T8" s="29" t="n">
        <x:f>'04_재고현금'!T9+'04_재고현금'!T10-'04_재고현금'!T8-'04_재고현금'!T11</x:f>
        <x:v>0</x:v>
      </x:c>
      <x:c r="U8" s="29" t="n">
        <x:f>'04_재고현금'!U9+'04_재고현금'!U10-'04_재고현금'!U8-'04_재고현금'!U11</x:f>
        <x:v>0</x:v>
      </x:c>
      <x:c r="V8" s="29" t="n">
        <x:f>'04_재고현금'!V9+'04_재고현금'!V10-'04_재고현금'!V8-'04_재고현금'!V11</x:f>
        <x:v>0</x:v>
      </x:c>
      <x:c r="W8" s="29" t="n">
        <x:f>'04_재고현금'!W9+'04_재고현금'!W10-'04_재고현금'!W8-'04_재고현금'!W11</x:f>
        <x:v>0</x:v>
      </x:c>
      <x:c r="X8" s="29" t="n">
        <x:f>'04_재고현금'!X9+'04_재고현금'!X10-'04_재고현금'!X8-'04_재고현금'!X11</x:f>
        <x:v>0</x:v>
      </x:c>
      <x:c r="Y8" s="29" t="n">
        <x:f>'04_재고현금'!Y9+'04_재고현금'!Y10-'04_재고현금'!Y8-'04_재고현금'!Y11</x:f>
        <x:v>0</x:v>
      </x:c>
      <x:c r="Z8" s="29" t="n">
        <x:f>'04_재고현금'!Z9+'04_재고현금'!Z10-'04_재고현금'!Z8-'04_재고현금'!Z11</x:f>
        <x:v>0</x:v>
      </x:c>
      <x:c r="AA8" s="29" t="n">
        <x:f>'04_재고현금'!AA9+'04_재고현금'!AA10-'04_재고현금'!AA8-'04_재고현금'!AA11</x:f>
        <x:v>0</x:v>
      </x:c>
      <x:c r="AB8" s="29" t="n">
        <x:f>'04_재고현금'!AB9+'04_재고현금'!AB10-'04_재고현금'!AB8-'04_재고현금'!AB11</x:f>
        <x:v>0</x:v>
      </x:c>
      <x:c r="AC8" s="29" t="n">
        <x:f>'04_재고현금'!AC9+'04_재고현금'!AC10-'04_재고현금'!AC8-'04_재고현금'!AC11</x:f>
        <x:v>0</x:v>
      </x:c>
      <x:c r="AD8" s="29" t="n">
        <x:f>'04_재고현금'!AD9+'04_재고현금'!AD10-'04_재고현금'!AD8-'04_재고현금'!AD11</x:f>
        <x:v>0</x:v>
      </x:c>
      <x:c r="AE8" s="29" t="n">
        <x:f>'04_재고현금'!AE9+'04_재고현금'!AE10-'04_재고현금'!AE8-'04_재고현금'!AE11</x:f>
        <x:v>0</x:v>
      </x:c>
      <x:c r="AF8" s="29" t="n">
        <x:f>'04_재고현금'!AF9+'04_재고현금'!AF10-'04_재고현금'!AF8-'04_재고현금'!AF11</x:f>
        <x:v>0</x:v>
      </x:c>
      <x:c r="AG8" s="29" t="n">
        <x:f>'04_재고현금'!AG9+'04_재고현금'!AG10-'04_재고현금'!AG8-'04_재고현금'!AG11</x:f>
        <x:v>0</x:v>
      </x:c>
      <x:c r="AH8" s="29" t="n">
        <x:f>'04_재고현금'!AH9+'04_재고현금'!AH10-'04_재고현금'!AH8-'04_재고현금'!AH11</x:f>
        <x:v>0</x:v>
      </x:c>
      <x:c r="AI8" s="29" t="n">
        <x:f>'04_재고현금'!AI9+'04_재고현금'!AI10-'04_재고현금'!AI8-'04_재고현금'!AI11</x:f>
        <x:v>0</x:v>
      </x:c>
      <x:c r="AJ8" s="29" t="n">
        <x:f>'04_재고현금'!AJ9+'04_재고현금'!AJ10-'04_재고현금'!AJ8-'04_재고현금'!AJ11</x:f>
        <x:v>0</x:v>
      </x:c>
      <x:c r="AK8" s="29" t="n">
        <x:f>'04_재고현금'!AK9+'04_재고현금'!AK10-'04_재고현금'!AK8-'04_재고현금'!AK11</x:f>
        <x:v>0</x:v>
      </x:c>
      <x:c r="AL8" s="29" t="n">
        <x:f>'04_재고현금'!AL9+'04_재고현금'!AL10-'04_재고현금'!AL8-'04_재고현금'!AL11</x:f>
        <x:v>0</x:v>
      </x:c>
      <x:c r="AM8" s="29" t="n">
        <x:f>'04_재고현금'!AM9+'04_재고현금'!AM10-'04_재고현금'!AM8-'04_재고현금'!AM11</x:f>
        <x:v>0</x:v>
      </x:c>
      <x:c r="AN8" s="29" t="n">
        <x:f>'04_재고현금'!AN9+'04_재고현금'!AN10-'04_재고현금'!AN8-'04_재고현금'!AN11</x:f>
        <x:v>0</x:v>
      </x:c>
      <x:c r="AO8" s="29" t="n">
        <x:f>'04_재고현금'!AO9+'04_재고현금'!AO10-'04_재고현금'!AO8-'04_재고현금'!AO11</x:f>
        <x:v>0</x:v>
      </x:c>
      <x:c r="AP8" s="29" t="n">
        <x:f>'04_재고현금'!AP9+'04_재고현금'!AP10-'04_재고현금'!AP8-'04_재고현금'!AP11</x:f>
        <x:v>0</x:v>
      </x:c>
      <x:c r="AQ8" s="29" t="n">
        <x:f>'04_재고현금'!AQ9+'04_재고현금'!AQ10-'04_재고현금'!AQ8-'04_재고현금'!AQ11</x:f>
        <x:v>0</x:v>
      </x:c>
      <x:c r="AR8" s="29" t="n">
        <x:f>'04_재고현금'!AR9+'04_재고현금'!AR10-'04_재고현금'!AR8-'04_재고현금'!AR11</x:f>
        <x:v>0</x:v>
      </x:c>
      <x:c r="AS8" s="29" t="n">
        <x:f>'04_재고현금'!AS9+'04_재고현금'!AS10-'04_재고현금'!AS8-'04_재고현금'!AS11</x:f>
        <x:v>0</x:v>
      </x:c>
    </x:row>
    <x:row r="9" ht="23" customHeight="1">
      <x:c r="A9" s="2"/>
      <x:c r="B9" s="2"/>
      <x:c r="C9" s="2" t="str">
        <x:v>재고 금액 수불 차이</x:v>
      </x:c>
      <x:c r="D9" s="2"/>
      <x:c r="E9" s="2"/>
      <x:c r="F9" s="36" t="n">
        <x:f>MAX(MAX(J9:AS9),-MIN(J9:AS9))</x:f>
        <x:v>0</x:v>
      </x:c>
      <x:c r="G9" s="9" t="str">
        <x:f>IF(F9&lt;0.01,"정상","확인 필요")</x:f>
        <x:v>정상</x:v>
      </x:c>
      <x:c r="H9" s="2"/>
      <x:c r="I9" s="2"/>
      <x:c r="J9" s="29" t="n">
        <x:f>'04_재고현금'!J14+'04_재고현금'!J13-'04_재고현금'!J16-'04_재고현금'!J17</x:f>
        <x:v>0</x:v>
      </x:c>
      <x:c r="K9" s="29" t="n">
        <x:f>'04_재고현금'!K14+'04_재고현금'!K13-'04_재고현금'!K16-'04_재고현금'!K17</x:f>
        <x:v>0</x:v>
      </x:c>
      <x:c r="L9" s="29" t="n">
        <x:f>'04_재고현금'!L14+'04_재고현금'!L13-'04_재고현금'!L16-'04_재고현금'!L17</x:f>
        <x:v>0</x:v>
      </x:c>
      <x:c r="M9" s="29" t="n">
        <x:f>'04_재고현금'!M14+'04_재고현금'!M13-'04_재고현금'!M16-'04_재고현금'!M17</x:f>
        <x:v>0</x:v>
      </x:c>
      <x:c r="N9" s="29" t="n">
        <x:f>'04_재고현금'!N14+'04_재고현금'!N13-'04_재고현금'!N16-'04_재고현금'!N17</x:f>
        <x:v>0</x:v>
      </x:c>
      <x:c r="O9" s="29" t="n">
        <x:f>'04_재고현금'!O14+'04_재고현금'!O13-'04_재고현금'!O16-'04_재고현금'!O17</x:f>
        <x:v>0</x:v>
      </x:c>
      <x:c r="P9" s="29" t="n">
        <x:f>'04_재고현금'!P14+'04_재고현금'!P13-'04_재고현금'!P16-'04_재고현금'!P17</x:f>
        <x:v>0</x:v>
      </x:c>
      <x:c r="Q9" s="29" t="n">
        <x:f>'04_재고현금'!Q14+'04_재고현금'!Q13-'04_재고현금'!Q16-'04_재고현금'!Q17</x:f>
        <x:v>0</x:v>
      </x:c>
      <x:c r="R9" s="29" t="n">
        <x:f>'04_재고현금'!R14+'04_재고현금'!R13-'04_재고현금'!R16-'04_재고현금'!R17</x:f>
        <x:v>0</x:v>
      </x:c>
      <x:c r="S9" s="29" t="n">
        <x:f>'04_재고현금'!S14+'04_재고현금'!S13-'04_재고현금'!S16-'04_재고현금'!S17</x:f>
        <x:v>0</x:v>
      </x:c>
      <x:c r="T9" s="29" t="n">
        <x:f>'04_재고현금'!T14+'04_재고현금'!T13-'04_재고현금'!T16-'04_재고현금'!T17</x:f>
        <x:v>0</x:v>
      </x:c>
      <x:c r="U9" s="29" t="n">
        <x:f>'04_재고현금'!U14+'04_재고현금'!U13-'04_재고현금'!U16-'04_재고현금'!U17</x:f>
        <x:v>0</x:v>
      </x:c>
      <x:c r="V9" s="29" t="n">
        <x:f>'04_재고현금'!V14+'04_재고현금'!V13-'04_재고현금'!V16-'04_재고현금'!V17</x:f>
        <x:v>0</x:v>
      </x:c>
      <x:c r="W9" s="29" t="n">
        <x:f>'04_재고현금'!W14+'04_재고현금'!W13-'04_재고현금'!W16-'04_재고현금'!W17</x:f>
        <x:v>0</x:v>
      </x:c>
      <x:c r="X9" s="29" t="n">
        <x:f>'04_재고현금'!X14+'04_재고현금'!X13-'04_재고현금'!X16-'04_재고현금'!X17</x:f>
        <x:v>0</x:v>
      </x:c>
      <x:c r="Y9" s="29" t="n">
        <x:f>'04_재고현금'!Y14+'04_재고현금'!Y13-'04_재고현금'!Y16-'04_재고현금'!Y17</x:f>
        <x:v>0</x:v>
      </x:c>
      <x:c r="Z9" s="29" t="n">
        <x:f>'04_재고현금'!Z14+'04_재고현금'!Z13-'04_재고현금'!Z16-'04_재고현금'!Z17</x:f>
        <x:v>0</x:v>
      </x:c>
      <x:c r="AA9" s="29" t="n">
        <x:f>'04_재고현금'!AA14+'04_재고현금'!AA13-'04_재고현금'!AA16-'04_재고현금'!AA17</x:f>
        <x:v>0</x:v>
      </x:c>
      <x:c r="AB9" s="29" t="n">
        <x:f>'04_재고현금'!AB14+'04_재고현금'!AB13-'04_재고현금'!AB16-'04_재고현금'!AB17</x:f>
        <x:v>0</x:v>
      </x:c>
      <x:c r="AC9" s="29" t="n">
        <x:f>'04_재고현금'!AC14+'04_재고현금'!AC13-'04_재고현금'!AC16-'04_재고현금'!AC17</x:f>
        <x:v>0</x:v>
      </x:c>
      <x:c r="AD9" s="29" t="n">
        <x:f>'04_재고현금'!AD14+'04_재고현금'!AD13-'04_재고현금'!AD16-'04_재고현금'!AD17</x:f>
        <x:v>0</x:v>
      </x:c>
      <x:c r="AE9" s="29" t="n">
        <x:f>'04_재고현금'!AE14+'04_재고현금'!AE13-'04_재고현금'!AE16-'04_재고현금'!AE17</x:f>
        <x:v>0</x:v>
      </x:c>
      <x:c r="AF9" s="29" t="n">
        <x:f>'04_재고현금'!AF14+'04_재고현금'!AF13-'04_재고현금'!AF16-'04_재고현금'!AF17</x:f>
        <x:v>0</x:v>
      </x:c>
      <x:c r="AG9" s="29" t="n">
        <x:f>'04_재고현금'!AG14+'04_재고현금'!AG13-'04_재고현금'!AG16-'04_재고현금'!AG17</x:f>
        <x:v>0</x:v>
      </x:c>
      <x:c r="AH9" s="29" t="n">
        <x:f>'04_재고현금'!AH14+'04_재고현금'!AH13-'04_재고현금'!AH16-'04_재고현금'!AH17</x:f>
        <x:v>0</x:v>
      </x:c>
      <x:c r="AI9" s="29" t="n">
        <x:f>'04_재고현금'!AI14+'04_재고현금'!AI13-'04_재고현금'!AI16-'04_재고현금'!AI17</x:f>
        <x:v>0</x:v>
      </x:c>
      <x:c r="AJ9" s="29" t="n">
        <x:f>'04_재고현금'!AJ14+'04_재고현금'!AJ13-'04_재고현금'!AJ16-'04_재고현금'!AJ17</x:f>
        <x:v>0</x:v>
      </x:c>
      <x:c r="AK9" s="29" t="n">
        <x:f>'04_재고현금'!AK14+'04_재고현금'!AK13-'04_재고현금'!AK16-'04_재고현금'!AK17</x:f>
        <x:v>0</x:v>
      </x:c>
      <x:c r="AL9" s="29" t="n">
        <x:f>'04_재고현금'!AL14+'04_재고현금'!AL13-'04_재고현금'!AL16-'04_재고현금'!AL17</x:f>
        <x:v>0</x:v>
      </x:c>
      <x:c r="AM9" s="29" t="n">
        <x:f>'04_재고현금'!AM14+'04_재고현금'!AM13-'04_재고현금'!AM16-'04_재고현금'!AM17</x:f>
        <x:v>0</x:v>
      </x:c>
      <x:c r="AN9" s="29" t="n">
        <x:f>'04_재고현금'!AN14+'04_재고현금'!AN13-'04_재고현금'!AN16-'04_재고현금'!AN17</x:f>
        <x:v>0</x:v>
      </x:c>
      <x:c r="AO9" s="29" t="n">
        <x:f>'04_재고현금'!AO14+'04_재고현금'!AO13-'04_재고현금'!AO16-'04_재고현금'!AO17</x:f>
        <x:v>0</x:v>
      </x:c>
      <x:c r="AP9" s="29" t="n">
        <x:f>'04_재고현금'!AP14+'04_재고현금'!AP13-'04_재고현금'!AP16-'04_재고현금'!AP17</x:f>
        <x:v>0</x:v>
      </x:c>
      <x:c r="AQ9" s="29" t="n">
        <x:f>'04_재고현금'!AQ14+'04_재고현금'!AQ13-'04_재고현금'!AQ16-'04_재고현금'!AQ17</x:f>
        <x:v>0</x:v>
      </x:c>
      <x:c r="AR9" s="29" t="n">
        <x:f>'04_재고현금'!AR14+'04_재고현금'!AR13-'04_재고현금'!AR16-'04_재고현금'!AR17</x:f>
        <x:v>0</x:v>
      </x:c>
      <x:c r="AS9" s="29" t="n">
        <x:f>'04_재고현금'!AS14+'04_재고현금'!AS13-'04_재고현금'!AS16-'04_재고현금'!AS17</x:f>
        <x:v>0</x:v>
      </x:c>
    </x:row>
    <x:row r="10" ht="23" customHeight="1">
      <x:c r="A10" s="2"/>
      <x:c r="B10" s="2"/>
      <x:c r="C10" s="2" t="str">
        <x:v>현금 흐름 두 방식 차이</x:v>
      </x:c>
      <x:c r="D10" s="2"/>
      <x:c r="E10" s="2"/>
      <x:c r="F10" s="36" t="n">
        <x:f>MAX(MAX(J10:AS10),-MIN(J10:AS10))</x:f>
        <x:v>1.6763806343078613e-8</x:v>
      </x:c>
      <x:c r="G10" s="9" t="str">
        <x:f>IF(F10&lt;0.01,"정상","확인 필요")</x:f>
        <x:v>정상</x:v>
      </x:c>
      <x:c r="H10" s="2"/>
      <x:c r="I10" s="2"/>
      <x:c r="J10" s="29" t="n">
        <x:f>'04_재고현금'!J40-'04_재고현금'!J46</x:f>
        <x:v>0</x:v>
      </x:c>
      <x:c r="K10" s="29" t="n">
        <x:f>'04_재고현금'!K40-'04_재고현금'!K46</x:f>
        <x:v>0</x:v>
      </x:c>
      <x:c r="L10" s="29" t="n">
        <x:f>'04_재고현금'!L40-'04_재고현금'!L46</x:f>
        <x:v>0</x:v>
      </x:c>
      <x:c r="M10" s="29" t="n">
        <x:f>'04_재고현금'!M40-'04_재고현금'!M46</x:f>
        <x:v>0</x:v>
      </x:c>
      <x:c r="N10" s="29" t="n">
        <x:f>'04_재고현금'!N40-'04_재고현금'!N46</x:f>
        <x:v>0</x:v>
      </x:c>
      <x:c r="O10" s="29" t="n">
        <x:f>'04_재고현금'!O40-'04_재고현금'!O46</x:f>
        <x:v>0</x:v>
      </x:c>
      <x:c r="P10" s="29" t="n">
        <x:f>'04_재고현금'!P40-'04_재고현금'!P46</x:f>
        <x:v>0</x:v>
      </x:c>
      <x:c r="Q10" s="29" t="n">
        <x:f>'04_재고현금'!Q40-'04_재고현금'!Q46</x:f>
        <x:v>0</x:v>
      </x:c>
      <x:c r="R10" s="29" t="n">
        <x:f>'04_재고현금'!R40-'04_재고현금'!R46</x:f>
        <x:v>0</x:v>
      </x:c>
      <x:c r="S10" s="29" t="n">
        <x:f>'04_재고현금'!S40-'04_재고현금'!S46</x:f>
        <x:v>-3.725290298461914e-9</x:v>
      </x:c>
      <x:c r="T10" s="29" t="n">
        <x:f>'04_재고현금'!T40-'04_재고현금'!T46</x:f>
        <x:v>0</x:v>
      </x:c>
      <x:c r="U10" s="29" t="n">
        <x:f>'04_재고현금'!U40-'04_재고현금'!U46</x:f>
        <x:v>0</x:v>
      </x:c>
      <x:c r="V10" s="29" t="n">
        <x:f>'04_재고현금'!V40-'04_재고현금'!V46</x:f>
        <x:v>-7.450580596923828e-9</x:v>
      </x:c>
      <x:c r="W10" s="29" t="n">
        <x:f>'04_재고현금'!W40-'04_재고현금'!W46</x:f>
        <x:v>1.1175870895385742e-8</x:v>
      </x:c>
      <x:c r="X10" s="29" t="n">
        <x:f>'04_재고현금'!X40-'04_재고현금'!X46</x:f>
        <x:v>3.725290298461914e-9</x:v>
      </x:c>
      <x:c r="Y10" s="29" t="n">
        <x:f>'04_재고현금'!Y40-'04_재고현금'!Y46</x:f>
        <x:v>-7.450580596923828e-9</x:v>
      </x:c>
      <x:c r="Z10" s="29" t="n">
        <x:f>'04_재고현금'!Z40-'04_재고현금'!Z46</x:f>
        <x:v>1.862645149230957e-9</x:v>
      </x:c>
      <x:c r="AA10" s="29" t="n">
        <x:f>'04_재고현금'!AA40-'04_재고현금'!AA46</x:f>
        <x:v>7.450580596923828e-9</x:v>
      </x:c>
      <x:c r="AB10" s="29" t="n">
        <x:f>'04_재고현금'!AB40-'04_재고현금'!AB46</x:f>
        <x:v>-5.587935447692871e-9</x:v>
      </x:c>
      <x:c r="AC10" s="29" t="n">
        <x:f>'04_재고현금'!AC40-'04_재고현금'!AC46</x:f>
        <x:v>-1.862645149230957e-9</x:v>
      </x:c>
      <x:c r="AD10" s="29" t="n">
        <x:f>'04_재고현금'!AD40-'04_재고현금'!AD46</x:f>
        <x:v>5.587935447692871e-9</x:v>
      </x:c>
      <x:c r="AE10" s="29" t="n">
        <x:f>'04_재고현금'!AE40-'04_재고현금'!AE46</x:f>
        <x:v>1.862645149230957e-9</x:v>
      </x:c>
      <x:c r="AF10" s="29" t="n">
        <x:f>'04_재고현금'!AF40-'04_재고현금'!AF46</x:f>
        <x:v>0</x:v>
      </x:c>
      <x:c r="AG10" s="29" t="n">
        <x:f>'04_재고현금'!AG40-'04_재고현금'!AG46</x:f>
        <x:v>1.4901161193847656e-8</x:v>
      </x:c>
      <x:c r="AH10" s="29" t="n">
        <x:f>'04_재고현금'!AH40-'04_재고현금'!AH46</x:f>
        <x:v>-1.1175870895385742e-8</x:v>
      </x:c>
      <x:c r="AI10" s="29" t="n">
        <x:f>'04_재고현금'!AI40-'04_재고현금'!AI46</x:f>
        <x:v>1.1175870895385742e-8</x:v>
      </x:c>
      <x:c r="AJ10" s="29" t="n">
        <x:f>'04_재고현금'!AJ40-'04_재고현금'!AJ46</x:f>
        <x:v>0</x:v>
      </x:c>
      <x:c r="AK10" s="29" t="n">
        <x:f>'04_재고현금'!AK40-'04_재고현금'!AK46</x:f>
        <x:v>-1.1175870895385742e-8</x:v>
      </x:c>
      <x:c r="AL10" s="29" t="n">
        <x:f>'04_재고현금'!AL40-'04_재고현금'!AL46</x:f>
        <x:v>1.862645149230957e-9</x:v>
      </x:c>
      <x:c r="AM10" s="29" t="n">
        <x:f>'04_재고현금'!AM40-'04_재고현금'!AM46</x:f>
        <x:v>7.450580596923828e-9</x:v>
      </x:c>
      <x:c r="AN10" s="29" t="n">
        <x:f>'04_재고현금'!AN40-'04_재고현금'!AN46</x:f>
        <x:v>-1.6763806343078613e-8</x:v>
      </x:c>
      <x:c r="AO10" s="29" t="n">
        <x:f>'04_재고현금'!AO40-'04_재고현금'!AO46</x:f>
        <x:v>-1.1175870895385742e-8</x:v>
      </x:c>
      <x:c r="AP10" s="29" t="n">
        <x:f>'04_재고현금'!AP40-'04_재고현금'!AP46</x:f>
        <x:v>-7.450580596923828e-9</x:v>
      </x:c>
      <x:c r="AQ10" s="29" t="n">
        <x:f>'04_재고현금'!AQ40-'04_재고현금'!AQ46</x:f>
        <x:v>-1.4901161193847656e-8</x:v>
      </x:c>
      <x:c r="AR10" s="29" t="n">
        <x:f>'04_재고현금'!AR40-'04_재고현금'!AR46</x:f>
        <x:v>-1.4901161193847656e-8</x:v>
      </x:c>
      <x:c r="AS10" s="29" t="n">
        <x:f>'04_재고현금'!AS40-'04_재고현금'!AS46</x:f>
        <x:v>-1.4901161193847656e-8</x:v>
      </x:c>
    </x:row>
    <x:row r="11" ht="23" customHeight="1">
      <x:c r="A11" s="2"/>
      <x:c r="B11" s="2"/>
      <x:c r="C11" s="2" t="str">
        <x:v>현금 잔액 수불 차이</x:v>
      </x:c>
      <x:c r="D11" s="2"/>
      <x:c r="E11" s="2"/>
      <x:c r="F11" s="36" t="n">
        <x:f>MAX(MAX(J11:AS11),-MIN(J11:AS11))</x:f>
        <x:v>0</x:v>
      </x:c>
      <x:c r="G11" s="9" t="str">
        <x:f>IF(F11&lt;0.01,"정상","확인 필요")</x:f>
        <x:v>정상</x:v>
      </x:c>
      <x:c r="H11" s="2"/>
      <x:c r="I11" s="2"/>
      <x:c r="J11" s="29" t="n">
        <x:f>'04_재고현금'!J42+'04_재고현금'!J40+'04_재고현금'!J41-'04_재고현금'!J43</x:f>
        <x:v>0</x:v>
      </x:c>
      <x:c r="K11" s="29" t="n">
        <x:f>'04_재고현금'!K42+'04_재고현금'!K40+'04_재고현금'!K41-'04_재고현금'!K43</x:f>
        <x:v>0</x:v>
      </x:c>
      <x:c r="L11" s="29" t="n">
        <x:f>'04_재고현금'!L42+'04_재고현금'!L40+'04_재고현금'!L41-'04_재고현금'!L43</x:f>
        <x:v>0</x:v>
      </x:c>
      <x:c r="M11" s="29" t="n">
        <x:f>'04_재고현금'!M42+'04_재고현금'!M40+'04_재고현금'!M41-'04_재고현금'!M43</x:f>
        <x:v>0</x:v>
      </x:c>
      <x:c r="N11" s="29" t="n">
        <x:f>'04_재고현금'!N42+'04_재고현금'!N40+'04_재고현금'!N41-'04_재고현금'!N43</x:f>
        <x:v>0</x:v>
      </x:c>
      <x:c r="O11" s="29" t="n">
        <x:f>'04_재고현금'!O42+'04_재고현금'!O40+'04_재고현금'!O41-'04_재고현금'!O43</x:f>
        <x:v>0</x:v>
      </x:c>
      <x:c r="P11" s="29" t="n">
        <x:f>'04_재고현금'!P42+'04_재고현금'!P40+'04_재고현금'!P41-'04_재고현금'!P43</x:f>
        <x:v>0</x:v>
      </x:c>
      <x:c r="Q11" s="29" t="n">
        <x:f>'04_재고현금'!Q42+'04_재고현금'!Q40+'04_재고현금'!Q41-'04_재고현금'!Q43</x:f>
        <x:v>0</x:v>
      </x:c>
      <x:c r="R11" s="29" t="n">
        <x:f>'04_재고현금'!R42+'04_재고현금'!R40+'04_재고현금'!R41-'04_재고현금'!R43</x:f>
        <x:v>0</x:v>
      </x:c>
      <x:c r="S11" s="29" t="n">
        <x:f>'04_재고현금'!S42+'04_재고현금'!S40+'04_재고현금'!S41-'04_재고현금'!S43</x:f>
        <x:v>0</x:v>
      </x:c>
      <x:c r="T11" s="29" t="n">
        <x:f>'04_재고현금'!T42+'04_재고현금'!T40+'04_재고현금'!T41-'04_재고현금'!T43</x:f>
        <x:v>0</x:v>
      </x:c>
      <x:c r="U11" s="29" t="n">
        <x:f>'04_재고현금'!U42+'04_재고현금'!U40+'04_재고현금'!U41-'04_재고현금'!U43</x:f>
        <x:v>0</x:v>
      </x:c>
      <x:c r="V11" s="29" t="n">
        <x:f>'04_재고현금'!V42+'04_재고현금'!V40+'04_재고현금'!V41-'04_재고현금'!V43</x:f>
        <x:v>0</x:v>
      </x:c>
      <x:c r="W11" s="29" t="n">
        <x:f>'04_재고현금'!W42+'04_재고현금'!W40+'04_재고현금'!W41-'04_재고현금'!W43</x:f>
        <x:v>0</x:v>
      </x:c>
      <x:c r="X11" s="29" t="n">
        <x:f>'04_재고현금'!X42+'04_재고현금'!X40+'04_재고현금'!X41-'04_재고현금'!X43</x:f>
        <x:v>0</x:v>
      </x:c>
      <x:c r="Y11" s="29" t="n">
        <x:f>'04_재고현금'!Y42+'04_재고현금'!Y40+'04_재고현금'!Y41-'04_재고현금'!Y43</x:f>
        <x:v>0</x:v>
      </x:c>
      <x:c r="Z11" s="29" t="n">
        <x:f>'04_재고현금'!Z42+'04_재고현금'!Z40+'04_재고현금'!Z41-'04_재고현금'!Z43</x:f>
        <x:v>0</x:v>
      </x:c>
      <x:c r="AA11" s="29" t="n">
        <x:f>'04_재고현금'!AA42+'04_재고현금'!AA40+'04_재고현금'!AA41-'04_재고현금'!AA43</x:f>
        <x:v>0</x:v>
      </x:c>
      <x:c r="AB11" s="29" t="n">
        <x:f>'04_재고현금'!AB42+'04_재고현금'!AB40+'04_재고현금'!AB41-'04_재고현금'!AB43</x:f>
        <x:v>0</x:v>
      </x:c>
      <x:c r="AC11" s="29" t="n">
        <x:f>'04_재고현금'!AC42+'04_재고현금'!AC40+'04_재고현금'!AC41-'04_재고현금'!AC43</x:f>
        <x:v>0</x:v>
      </x:c>
      <x:c r="AD11" s="29" t="n">
        <x:f>'04_재고현금'!AD42+'04_재고현금'!AD40+'04_재고현금'!AD41-'04_재고현금'!AD43</x:f>
        <x:v>0</x:v>
      </x:c>
      <x:c r="AE11" s="29" t="n">
        <x:f>'04_재고현금'!AE42+'04_재고현금'!AE40+'04_재고현금'!AE41-'04_재고현금'!AE43</x:f>
        <x:v>0</x:v>
      </x:c>
      <x:c r="AF11" s="29" t="n">
        <x:f>'04_재고현금'!AF42+'04_재고현금'!AF40+'04_재고현금'!AF41-'04_재고현금'!AF43</x:f>
        <x:v>0</x:v>
      </x:c>
      <x:c r="AG11" s="29" t="n">
        <x:f>'04_재고현금'!AG42+'04_재고현금'!AG40+'04_재고현금'!AG41-'04_재고현금'!AG43</x:f>
        <x:v>0</x:v>
      </x:c>
      <x:c r="AH11" s="29" t="n">
        <x:f>'04_재고현금'!AH42+'04_재고현금'!AH40+'04_재고현금'!AH41-'04_재고현금'!AH43</x:f>
        <x:v>0</x:v>
      </x:c>
      <x:c r="AI11" s="29" t="n">
        <x:f>'04_재고현금'!AI42+'04_재고현금'!AI40+'04_재고현금'!AI41-'04_재고현금'!AI43</x:f>
        <x:v>0</x:v>
      </x:c>
      <x:c r="AJ11" s="29" t="n">
        <x:f>'04_재고현금'!AJ42+'04_재고현금'!AJ40+'04_재고현금'!AJ41-'04_재고현금'!AJ43</x:f>
        <x:v>0</x:v>
      </x:c>
      <x:c r="AK11" s="29" t="n">
        <x:f>'04_재고현금'!AK42+'04_재고현금'!AK40+'04_재고현금'!AK41-'04_재고현금'!AK43</x:f>
        <x:v>0</x:v>
      </x:c>
      <x:c r="AL11" s="29" t="n">
        <x:f>'04_재고현금'!AL42+'04_재고현금'!AL40+'04_재고현금'!AL41-'04_재고현금'!AL43</x:f>
        <x:v>0</x:v>
      </x:c>
      <x:c r="AM11" s="29" t="n">
        <x:f>'04_재고현금'!AM42+'04_재고현금'!AM40+'04_재고현금'!AM41-'04_재고현금'!AM43</x:f>
        <x:v>0</x:v>
      </x:c>
      <x:c r="AN11" s="29" t="n">
        <x:f>'04_재고현금'!AN42+'04_재고현금'!AN40+'04_재고현금'!AN41-'04_재고현금'!AN43</x:f>
        <x:v>0</x:v>
      </x:c>
      <x:c r="AO11" s="29" t="n">
        <x:f>'04_재고현금'!AO42+'04_재고현금'!AO40+'04_재고현금'!AO41-'04_재고현금'!AO43</x:f>
        <x:v>0</x:v>
      </x:c>
      <x:c r="AP11" s="29" t="n">
        <x:f>'04_재고현금'!AP42+'04_재고현금'!AP40+'04_재고현금'!AP41-'04_재고현금'!AP43</x:f>
        <x:v>0</x:v>
      </x:c>
      <x:c r="AQ11" s="29" t="n">
        <x:f>'04_재고현금'!AQ42+'04_재고현금'!AQ40+'04_재고현금'!AQ41-'04_재고현금'!AQ43</x:f>
        <x:v>0</x:v>
      </x:c>
      <x:c r="AR11" s="29" t="n">
        <x:f>'04_재고현금'!AR42+'04_재고현금'!AR40+'04_재고현금'!AR41-'04_재고현금'!AR43</x:f>
        <x:v>0</x:v>
      </x:c>
      <x:c r="AS11" s="29" t="n">
        <x:f>'04_재고현금'!AS42+'04_재고현금'!AS40+'04_재고현금'!AS41-'04_재고현금'!AS43</x:f>
        <x:v>0</x:v>
      </x:c>
    </x:row>
    <x:row r="12" ht="23" customHeight="1">
      <x:c r="A12" s="2"/>
      <x:c r="B12" s="2"/>
      <x:c r="C12" s="2" t="str">
        <x:v>매출 합계 차이</x:v>
      </x:c>
      <x:c r="D12" s="2"/>
      <x:c r="E12" s="2"/>
      <x:c r="F12" s="36" t="n">
        <x:f>MAX(MAX(J12:AS12),-MIN(J12:AS12))</x:f>
        <x:v>0</x:v>
      </x:c>
      <x:c r="G12" s="9" t="str">
        <x:f>IF(F12&lt;0.01,"정상","확인 필요")</x:f>
        <x:v>정상</x:v>
      </x:c>
      <x:c r="H12" s="2"/>
      <x:c r="I12" s="2"/>
      <x:c r="J12" s="29" t="n">
        <x:f>SUM('03_월별손익'!J30:J32)-'03_월별손익'!J33</x:f>
        <x:v>0</x:v>
      </x:c>
      <x:c r="K12" s="29" t="n">
        <x:f>SUM('03_월별손익'!K30:K32)-'03_월별손익'!K33</x:f>
        <x:v>0</x:v>
      </x:c>
      <x:c r="L12" s="29" t="n">
        <x:f>SUM('03_월별손익'!L30:L32)-'03_월별손익'!L33</x:f>
        <x:v>0</x:v>
      </x:c>
      <x:c r="M12" s="29" t="n">
        <x:f>SUM('03_월별손익'!M30:M32)-'03_월별손익'!M33</x:f>
        <x:v>0</x:v>
      </x:c>
      <x:c r="N12" s="29" t="n">
        <x:f>SUM('03_월별손익'!N30:N32)-'03_월별손익'!N33</x:f>
        <x:v>0</x:v>
      </x:c>
      <x:c r="O12" s="29" t="n">
        <x:f>SUM('03_월별손익'!O30:O32)-'03_월별손익'!O33</x:f>
        <x:v>0</x:v>
      </x:c>
      <x:c r="P12" s="29" t="n">
        <x:f>SUM('03_월별손익'!P30:P32)-'03_월별손익'!P33</x:f>
        <x:v>0</x:v>
      </x:c>
      <x:c r="Q12" s="29" t="n">
        <x:f>SUM('03_월별손익'!Q30:Q32)-'03_월별손익'!Q33</x:f>
        <x:v>0</x:v>
      </x:c>
      <x:c r="R12" s="29" t="n">
        <x:f>SUM('03_월별손익'!R30:R32)-'03_월별손익'!R33</x:f>
        <x:v>0</x:v>
      </x:c>
      <x:c r="S12" s="29" t="n">
        <x:f>SUM('03_월별손익'!S30:S32)-'03_월별손익'!S33</x:f>
        <x:v>0</x:v>
      </x:c>
      <x:c r="T12" s="29" t="n">
        <x:f>SUM('03_월별손익'!T30:T32)-'03_월별손익'!T33</x:f>
        <x:v>0</x:v>
      </x:c>
      <x:c r="U12" s="29" t="n">
        <x:f>SUM('03_월별손익'!U30:U32)-'03_월별손익'!U33</x:f>
        <x:v>0</x:v>
      </x:c>
      <x:c r="V12" s="29" t="n">
        <x:f>SUM('03_월별손익'!V30:V32)-'03_월별손익'!V33</x:f>
        <x:v>0</x:v>
      </x:c>
      <x:c r="W12" s="29" t="n">
        <x:f>SUM('03_월별손익'!W30:W32)-'03_월별손익'!W33</x:f>
        <x:v>0</x:v>
      </x:c>
      <x:c r="X12" s="29" t="n">
        <x:f>SUM('03_월별손익'!X30:X32)-'03_월별손익'!X33</x:f>
        <x:v>0</x:v>
      </x:c>
      <x:c r="Y12" s="29" t="n">
        <x:f>SUM('03_월별손익'!Y30:Y32)-'03_월별손익'!Y33</x:f>
        <x:v>0</x:v>
      </x:c>
      <x:c r="Z12" s="29" t="n">
        <x:f>SUM('03_월별손익'!Z30:Z32)-'03_월별손익'!Z33</x:f>
        <x:v>0</x:v>
      </x:c>
      <x:c r="AA12" s="29" t="n">
        <x:f>SUM('03_월별손익'!AA30:AA32)-'03_월별손익'!AA33</x:f>
        <x:v>0</x:v>
      </x:c>
      <x:c r="AB12" s="29" t="n">
        <x:f>SUM('03_월별손익'!AB30:AB32)-'03_월별손익'!AB33</x:f>
        <x:v>0</x:v>
      </x:c>
      <x:c r="AC12" s="29" t="n">
        <x:f>SUM('03_월별손익'!AC30:AC32)-'03_월별손익'!AC33</x:f>
        <x:v>0</x:v>
      </x:c>
      <x:c r="AD12" s="29" t="n">
        <x:f>SUM('03_월별손익'!AD30:AD32)-'03_월별손익'!AD33</x:f>
        <x:v>0</x:v>
      </x:c>
      <x:c r="AE12" s="29" t="n">
        <x:f>SUM('03_월별손익'!AE30:AE32)-'03_월별손익'!AE33</x:f>
        <x:v>0</x:v>
      </x:c>
      <x:c r="AF12" s="29" t="n">
        <x:f>SUM('03_월별손익'!AF30:AF32)-'03_월별손익'!AF33</x:f>
        <x:v>0</x:v>
      </x:c>
      <x:c r="AG12" s="29" t="n">
        <x:f>SUM('03_월별손익'!AG30:AG32)-'03_월별손익'!AG33</x:f>
        <x:v>0</x:v>
      </x:c>
      <x:c r="AH12" s="29" t="n">
        <x:f>SUM('03_월별손익'!AH30:AH32)-'03_월별손익'!AH33</x:f>
        <x:v>0</x:v>
      </x:c>
      <x:c r="AI12" s="29" t="n">
        <x:f>SUM('03_월별손익'!AI30:AI32)-'03_월별손익'!AI33</x:f>
        <x:v>0</x:v>
      </x:c>
      <x:c r="AJ12" s="29" t="n">
        <x:f>SUM('03_월별손익'!AJ30:AJ32)-'03_월별손익'!AJ33</x:f>
        <x:v>0</x:v>
      </x:c>
      <x:c r="AK12" s="29" t="n">
        <x:f>SUM('03_월별손익'!AK30:AK32)-'03_월별손익'!AK33</x:f>
        <x:v>0</x:v>
      </x:c>
      <x:c r="AL12" s="29" t="n">
        <x:f>SUM('03_월별손익'!AL30:AL32)-'03_월별손익'!AL33</x:f>
        <x:v>0</x:v>
      </x:c>
      <x:c r="AM12" s="29" t="n">
        <x:f>SUM('03_월별손익'!AM30:AM32)-'03_월별손익'!AM33</x:f>
        <x:v>0</x:v>
      </x:c>
      <x:c r="AN12" s="29" t="n">
        <x:f>SUM('03_월별손익'!AN30:AN32)-'03_월별손익'!AN33</x:f>
        <x:v>0</x:v>
      </x:c>
      <x:c r="AO12" s="29" t="n">
        <x:f>SUM('03_월별손익'!AO30:AO32)-'03_월별손익'!AO33</x:f>
        <x:v>0</x:v>
      </x:c>
      <x:c r="AP12" s="29" t="n">
        <x:f>SUM('03_월별손익'!AP30:AP32)-'03_월별손익'!AP33</x:f>
        <x:v>0</x:v>
      </x:c>
      <x:c r="AQ12" s="29" t="n">
        <x:f>SUM('03_월별손익'!AQ30:AQ32)-'03_월별손익'!AQ33</x:f>
        <x:v>0</x:v>
      </x:c>
      <x:c r="AR12" s="29" t="n">
        <x:f>SUM('03_월별손익'!AR30:AR32)-'03_월별손익'!AR33</x:f>
        <x:v>0</x:v>
      </x:c>
      <x:c r="AS12" s="29" t="n">
        <x:f>SUM('03_월별손익'!AS30:AS32)-'03_월별손익'!AS33</x:f>
        <x:v>0</x:v>
      </x:c>
    </x:row>
    <x:row r="13" ht="23" customHeight="1">
      <x:c r="A13" s="2"/>
      <x:c r="B13" s="2"/>
      <x:c r="C13" s="2" t="str">
        <x:v>기말 재고 음수 수량</x:v>
      </x:c>
      <x:c r="D13" s="2"/>
      <x:c r="E13" s="2"/>
      <x:c r="F13" s="36" t="n">
        <x:f>MAX(MAX(J13:AS13),-MIN(J13:AS13))</x:f>
        <x:v>0</x:v>
      </x:c>
      <x:c r="G13" s="9" t="str">
        <x:f>IF(F13&lt;0.01,"정상","확인 필요")</x:f>
        <x:v>정상</x:v>
      </x:c>
      <x:c r="H13" s="2"/>
      <x:c r="I13" s="2"/>
      <x:c r="J13" s="29" t="n">
        <x:f>MIN(0,'04_재고현금'!J11)</x:f>
        <x:v>0</x:v>
      </x:c>
      <x:c r="K13" s="29" t="n">
        <x:f>MIN(0,'04_재고현금'!K11)</x:f>
        <x:v>0</x:v>
      </x:c>
      <x:c r="L13" s="29" t="n">
        <x:f>MIN(0,'04_재고현금'!L11)</x:f>
        <x:v>0</x:v>
      </x:c>
      <x:c r="M13" s="29" t="n">
        <x:f>MIN(0,'04_재고현금'!M11)</x:f>
        <x:v>0</x:v>
      </x:c>
      <x:c r="N13" s="29" t="n">
        <x:f>MIN(0,'04_재고현금'!N11)</x:f>
        <x:v>0</x:v>
      </x:c>
      <x:c r="O13" s="29" t="n">
        <x:f>MIN(0,'04_재고현금'!O11)</x:f>
        <x:v>0</x:v>
      </x:c>
      <x:c r="P13" s="29" t="n">
        <x:f>MIN(0,'04_재고현금'!P11)</x:f>
        <x:v>0</x:v>
      </x:c>
      <x:c r="Q13" s="29" t="n">
        <x:f>MIN(0,'04_재고현금'!Q11)</x:f>
        <x:v>0</x:v>
      </x:c>
      <x:c r="R13" s="29" t="n">
        <x:f>MIN(0,'04_재고현금'!R11)</x:f>
        <x:v>0</x:v>
      </x:c>
      <x:c r="S13" s="29" t="n">
        <x:f>MIN(0,'04_재고현금'!S11)</x:f>
        <x:v>0</x:v>
      </x:c>
      <x:c r="T13" s="29" t="n">
        <x:f>MIN(0,'04_재고현금'!T11)</x:f>
        <x:v>0</x:v>
      </x:c>
      <x:c r="U13" s="29" t="n">
        <x:f>MIN(0,'04_재고현금'!U11)</x:f>
        <x:v>0</x:v>
      </x:c>
      <x:c r="V13" s="29" t="n">
        <x:f>MIN(0,'04_재고현금'!V11)</x:f>
        <x:v>0</x:v>
      </x:c>
      <x:c r="W13" s="29" t="n">
        <x:f>MIN(0,'04_재고현금'!W11)</x:f>
        <x:v>0</x:v>
      </x:c>
      <x:c r="X13" s="29" t="n">
        <x:f>MIN(0,'04_재고현금'!X11)</x:f>
        <x:v>0</x:v>
      </x:c>
      <x:c r="Y13" s="29" t="n">
        <x:f>MIN(0,'04_재고현금'!Y11)</x:f>
        <x:v>0</x:v>
      </x:c>
      <x:c r="Z13" s="29" t="n">
        <x:f>MIN(0,'04_재고현금'!Z11)</x:f>
        <x:v>0</x:v>
      </x:c>
      <x:c r="AA13" s="29" t="n">
        <x:f>MIN(0,'04_재고현금'!AA11)</x:f>
        <x:v>0</x:v>
      </x:c>
      <x:c r="AB13" s="29" t="n">
        <x:f>MIN(0,'04_재고현금'!AB11)</x:f>
        <x:v>0</x:v>
      </x:c>
      <x:c r="AC13" s="29" t="n">
        <x:f>MIN(0,'04_재고현금'!AC11)</x:f>
        <x:v>0</x:v>
      </x:c>
      <x:c r="AD13" s="29" t="n">
        <x:f>MIN(0,'04_재고현금'!AD11)</x:f>
        <x:v>0</x:v>
      </x:c>
      <x:c r="AE13" s="29" t="n">
        <x:f>MIN(0,'04_재고현금'!AE11)</x:f>
        <x:v>0</x:v>
      </x:c>
      <x:c r="AF13" s="29" t="n">
        <x:f>MIN(0,'04_재고현금'!AF11)</x:f>
        <x:v>0</x:v>
      </x:c>
      <x:c r="AG13" s="29" t="n">
        <x:f>MIN(0,'04_재고현금'!AG11)</x:f>
        <x:v>0</x:v>
      </x:c>
      <x:c r="AH13" s="29" t="n">
        <x:f>MIN(0,'04_재고현금'!AH11)</x:f>
        <x:v>0</x:v>
      </x:c>
      <x:c r="AI13" s="29" t="n">
        <x:f>MIN(0,'04_재고현금'!AI11)</x:f>
        <x:v>0</x:v>
      </x:c>
      <x:c r="AJ13" s="29" t="n">
        <x:f>MIN(0,'04_재고현금'!AJ11)</x:f>
        <x:v>0</x:v>
      </x:c>
      <x:c r="AK13" s="29" t="n">
        <x:f>MIN(0,'04_재고현금'!AK11)</x:f>
        <x:v>0</x:v>
      </x:c>
      <x:c r="AL13" s="29" t="n">
        <x:f>MIN(0,'04_재고현금'!AL11)</x:f>
        <x:v>0</x:v>
      </x:c>
      <x:c r="AM13" s="29" t="n">
        <x:f>MIN(0,'04_재고현금'!AM11)</x:f>
        <x:v>0</x:v>
      </x:c>
      <x:c r="AN13" s="29" t="n">
        <x:f>MIN(0,'04_재고현금'!AN11)</x:f>
        <x:v>0</x:v>
      </x:c>
      <x:c r="AO13" s="29" t="n">
        <x:f>MIN(0,'04_재고현금'!AO11)</x:f>
        <x:v>0</x:v>
      </x:c>
      <x:c r="AP13" s="29" t="n">
        <x:f>MIN(0,'04_재고현금'!AP11)</x:f>
        <x:v>0</x:v>
      </x:c>
      <x:c r="AQ13" s="29" t="n">
        <x:f>MIN(0,'04_재고현금'!AQ11)</x:f>
        <x:v>0</x:v>
      </x:c>
      <x:c r="AR13" s="29" t="n">
        <x:f>MIN(0,'04_재고현금'!AR11)</x:f>
        <x:v>0</x:v>
      </x:c>
      <x:c r="AS13" s="29" t="n">
        <x:f>MIN(0,'04_재고현금'!AS11)</x:f>
        <x:v>0</x:v>
      </x:c>
    </x:row>
    <x:row r="14" ht="23" customHeight="1">
      <x:c r="A14" s="2"/>
      <x:c r="B14" s="2"/>
      <x:c r="C14" s="2" t="str">
        <x:v>리필 구매자 수불 차이</x:v>
      </x:c>
      <x:c r="D14" s="2"/>
      <x:c r="E14" s="2"/>
      <x:c r="F14" s="36" t="n">
        <x:f>MAX(MAX(J14:AS14),-MIN(J14:AS14))</x:f>
        <x:v>0</x:v>
      </x:c>
      <x:c r="G14" s="9" t="str">
        <x:f>IF(F14&lt;0.01,"정상","확인 필요")</x:f>
        <x:v>정상</x:v>
      </x:c>
      <x:c r="H14" s="2"/>
      <x:c r="I14" s="2"/>
      <x:c r="J14" s="29" t="n">
        <x:f>SUM('03_월별손익'!J26:J27)-'03_월별손익'!J28</x:f>
        <x:v>0</x:v>
      </x:c>
      <x:c r="K14" s="29" t="n">
        <x:f>SUM('03_월별손익'!K26:K27)-'03_월별손익'!K28</x:f>
        <x:v>0</x:v>
      </x:c>
      <x:c r="L14" s="29" t="n">
        <x:f>SUM('03_월별손익'!L26:L27)-'03_월별손익'!L28</x:f>
        <x:v>0</x:v>
      </x:c>
      <x:c r="M14" s="29" t="n">
        <x:f>SUM('03_월별손익'!M26:M27)-'03_월별손익'!M28</x:f>
        <x:v>0</x:v>
      </x:c>
      <x:c r="N14" s="29" t="n">
        <x:f>SUM('03_월별손익'!N26:N27)-'03_월별손익'!N28</x:f>
        <x:v>0</x:v>
      </x:c>
      <x:c r="O14" s="29" t="n">
        <x:f>SUM('03_월별손익'!O26:O27)-'03_월별손익'!O28</x:f>
        <x:v>0</x:v>
      </x:c>
      <x:c r="P14" s="29" t="n">
        <x:f>SUM('03_월별손익'!P26:P27)-'03_월별손익'!P28</x:f>
        <x:v>0</x:v>
      </x:c>
      <x:c r="Q14" s="29" t="n">
        <x:f>SUM('03_월별손익'!Q26:Q27)-'03_월별손익'!Q28</x:f>
        <x:v>0</x:v>
      </x:c>
      <x:c r="R14" s="29" t="n">
        <x:f>SUM('03_월별손익'!R26:R27)-'03_월별손익'!R28</x:f>
        <x:v>0</x:v>
      </x:c>
      <x:c r="S14" s="29" t="n">
        <x:f>SUM('03_월별손익'!S26:S27)-'03_월별손익'!S28</x:f>
        <x:v>0</x:v>
      </x:c>
      <x:c r="T14" s="29" t="n">
        <x:f>SUM('03_월별손익'!T26:T27)-'03_월별손익'!T28</x:f>
        <x:v>0</x:v>
      </x:c>
      <x:c r="U14" s="29" t="n">
        <x:f>SUM('03_월별손익'!U26:U27)-'03_월별손익'!U28</x:f>
        <x:v>0</x:v>
      </x:c>
      <x:c r="V14" s="29" t="n">
        <x:f>SUM('03_월별손익'!V26:V27)-'03_월별손익'!V28</x:f>
        <x:v>0</x:v>
      </x:c>
      <x:c r="W14" s="29" t="n">
        <x:f>SUM('03_월별손익'!W26:W27)-'03_월별손익'!W28</x:f>
        <x:v>0</x:v>
      </x:c>
      <x:c r="X14" s="29" t="n">
        <x:f>SUM('03_월별손익'!X26:X27)-'03_월별손익'!X28</x:f>
        <x:v>0</x:v>
      </x:c>
      <x:c r="Y14" s="29" t="n">
        <x:f>SUM('03_월별손익'!Y26:Y27)-'03_월별손익'!Y28</x:f>
        <x:v>0</x:v>
      </x:c>
      <x:c r="Z14" s="29" t="n">
        <x:f>SUM('03_월별손익'!Z26:Z27)-'03_월별손익'!Z28</x:f>
        <x:v>0</x:v>
      </x:c>
      <x:c r="AA14" s="29" t="n">
        <x:f>SUM('03_월별손익'!AA26:AA27)-'03_월별손익'!AA28</x:f>
        <x:v>0</x:v>
      </x:c>
      <x:c r="AB14" s="29" t="n">
        <x:f>SUM('03_월별손익'!AB26:AB27)-'03_월별손익'!AB28</x:f>
        <x:v>0</x:v>
      </x:c>
      <x:c r="AC14" s="29" t="n">
        <x:f>SUM('03_월별손익'!AC26:AC27)-'03_월별손익'!AC28</x:f>
        <x:v>0</x:v>
      </x:c>
      <x:c r="AD14" s="29" t="n">
        <x:f>SUM('03_월별손익'!AD26:AD27)-'03_월별손익'!AD28</x:f>
        <x:v>0</x:v>
      </x:c>
      <x:c r="AE14" s="29" t="n">
        <x:f>SUM('03_월별손익'!AE26:AE27)-'03_월별손익'!AE28</x:f>
        <x:v>0</x:v>
      </x:c>
      <x:c r="AF14" s="29" t="n">
        <x:f>SUM('03_월별손익'!AF26:AF27)-'03_월별손익'!AF28</x:f>
        <x:v>0</x:v>
      </x:c>
      <x:c r="AG14" s="29" t="n">
        <x:f>SUM('03_월별손익'!AG26:AG27)-'03_월별손익'!AG28</x:f>
        <x:v>0</x:v>
      </x:c>
      <x:c r="AH14" s="29" t="n">
        <x:f>SUM('03_월별손익'!AH26:AH27)-'03_월별손익'!AH28</x:f>
        <x:v>0</x:v>
      </x:c>
      <x:c r="AI14" s="29" t="n">
        <x:f>SUM('03_월별손익'!AI26:AI27)-'03_월별손익'!AI28</x:f>
        <x:v>0</x:v>
      </x:c>
      <x:c r="AJ14" s="29" t="n">
        <x:f>SUM('03_월별손익'!AJ26:AJ27)-'03_월별손익'!AJ28</x:f>
        <x:v>0</x:v>
      </x:c>
      <x:c r="AK14" s="29" t="n">
        <x:f>SUM('03_월별손익'!AK26:AK27)-'03_월별손익'!AK28</x:f>
        <x:v>0</x:v>
      </x:c>
      <x:c r="AL14" s="29" t="n">
        <x:f>SUM('03_월별손익'!AL26:AL27)-'03_월별손익'!AL28</x:f>
        <x:v>0</x:v>
      </x:c>
      <x:c r="AM14" s="29" t="n">
        <x:f>SUM('03_월별손익'!AM26:AM27)-'03_월별손익'!AM28</x:f>
        <x:v>0</x:v>
      </x:c>
      <x:c r="AN14" s="29" t="n">
        <x:f>SUM('03_월별손익'!AN26:AN27)-'03_월별손익'!AN28</x:f>
        <x:v>0</x:v>
      </x:c>
      <x:c r="AO14" s="29" t="n">
        <x:f>SUM('03_월별손익'!AO26:AO27)-'03_월별손익'!AO28</x:f>
        <x:v>0</x:v>
      </x:c>
      <x:c r="AP14" s="29" t="n">
        <x:f>SUM('03_월별손익'!AP26:AP27)-'03_월별손익'!AP28</x:f>
        <x:v>0</x:v>
      </x:c>
      <x:c r="AQ14" s="29" t="n">
        <x:f>SUM('03_월별손익'!AQ26:AQ27)-'03_월별손익'!AQ28</x:f>
        <x:v>0</x:v>
      </x:c>
      <x:c r="AR14" s="29" t="n">
        <x:f>SUM('03_월별손익'!AR26:AR27)-'03_월별손익'!AR28</x:f>
        <x:v>0</x:v>
      </x:c>
      <x:c r="AS14" s="29" t="n">
        <x:f>SUM('03_월별손익'!AS26:AS27)-'03_월별손익'!AS28</x:f>
        <x:v>0</x:v>
      </x:c>
    </x:row>
    <x:row r="15" ht="23" customHeight="1">
      <x:c r="A15" s="2"/>
      <x:c r="B15" s="2"/>
      <x:c r="C15" s="2"/>
      <x:c r="D15" s="2"/>
      <x:c r="E15" s="2"/>
      <x:c r="F15" s="49"/>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ht="23" customHeight="1">
      <x:c r="A16" s="2"/>
      <x:c r="B16" s="2"/>
      <x:c r="C16" s="2"/>
      <x:c r="D16" s="2"/>
      <x:c r="E16" s="2"/>
      <x:c r="F16" s="49"/>
      <x:c r="G16" s="2"/>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ht="23" customHeight="1">
      <x:c r="A17" s="2"/>
      <x:c r="B17" s="2"/>
      <x:c r="C17" s="2" t="str">
        <x:v>100일 예산 합계 차이</x:v>
      </x:c>
      <x:c r="D17" s="2"/>
      <x:c r="E17" s="2"/>
      <x:c r="F17" s="35" t="n">
        <x:f>SUM('05_100일검증'!F8:F17)-10000000</x:f>
        <x:v>0</x:v>
      </x:c>
      <x:c r="G17" s="2"/>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ht="23" customHeight="1">
      <x:c r="A18" s="2"/>
      <x:c r="B18" s="2"/>
      <x:c r="C18" s="2" t="str">
        <x:v>100일 배분 비중 합계</x:v>
      </x:c>
      <x:c r="D18" s="2"/>
      <x:c r="E18" s="2"/>
      <x:c r="F18" s="35" t="n">
        <x:f>SUM('05_100일검증'!J23:M23)-1</x:f>
        <x:v>0</x:v>
      </x:c>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ht="23" customHeight="1">
      <x:c r="A19" s="2"/>
      <x:c r="B19" s="2"/>
      <x:c r="C19" s="2" t="str">
        <x:v>원안 투자금 합계 차이</x:v>
      </x:c>
      <x:c r="D19" s="2"/>
      <x:c r="E19" s="2"/>
      <x:c r="F19" s="35" t="n">
        <x:f>SUM('07_근거원문'!E52:E58)-300000000</x:f>
        <x:v>0</x:v>
      </x:c>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ht="23" customHeight="1">
      <x:c r="A20" s="2"/>
      <x:c r="B20" s="2"/>
      <x:c r="C20" s="2" t="str">
        <x:v>리테일 스위치 0일 때 매출</x:v>
      </x:c>
      <x:c r="D20" s="2"/>
      <x:c r="E20" s="2"/>
      <x:c r="F20" s="35" t="n">
        <x:f>IF('01_가정'!$F$95=0,SUM('03_월별손익'!J31:AS31),0)</x:f>
        <x:v>0</x:v>
      </x:c>
      <x:c r="G20" s="2"/>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ht="23" customHeight="1">
      <x:c r="A21" s="2"/>
      <x:c r="B21" s="2"/>
      <x:c r="C21" s="2" t="str">
        <x:v>실측 자료의 현재 상태</x:v>
      </x:c>
      <x:c r="D21" s="2"/>
      <x:c r="E21" s="2"/>
      <x:c r="F21" s="29" t="str">
        <x:f>IF(COUNT('08_실측입력'!F8:F20)=0,"미관측","관측값 있음")</x:f>
        <x:v>미관측</x:v>
      </x:c>
      <x:c r="G21" s="2"/>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ht="23" customHeight="1">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ht="23"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ht="36" customHeight="1">
      <x:c r="A24" s="2"/>
      <x:c r="B24" s="2"/>
      <x:c r="C24" s="13" t="str">
        <x:v>계산 정상은 수요나 효능 검증을 뜻하지 않습니다. 이 탭은 결과를 관찰하며 가정과 손익 및 요약의 계산에 다시 연결하지 않습니다.</x:v>
      </x:c>
      <x:c r="D24" s="13"/>
      <x:c r="E24" s="13"/>
      <x:c r="F24" s="13"/>
      <x:c r="G24" s="13"/>
      <x:c r="H24" s="13"/>
      <x:c r="I24" s="13"/>
      <x:c r="J24" s="13"/>
      <x:c r="K24" s="13"/>
      <x:c r="L24" s="13"/>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ht="23" customHeight="1">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ht="23" customHeight="1">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ht="23" customHeight="1">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ht="23"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ht="23" customHeight="1">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ht="23"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ht="23"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ht="23"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ht="23"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ht="23"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ht="23"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sheetData>
  <x:mergeCells>
    <x:mergeCell ref="C24:L24"/>
  </x:mergeCells>
  <x:conditionalFormatting sqref="F8:F20">
    <x:cfRule type="cellIs" dxfId="2" priority="1" operator="greaterThan">
      <x:formula>0.01</x:formula>
    </x:cfRule>
  </x:conditionalFormatting>
  <x:pageMargins left="0.7" right="0.7" top="0.75" bottom="0.75" header="0.3" footer="0.3"/>
</x:worksheet>
</file>

<file path=xl/worksheets/sheet11.xml><?xml version="1.0" encoding="utf-8"?>
<x:worksheet xmlns:x="http://schemas.openxmlformats.org/spreadsheetml/2006/main">
  <x:sheetPr>
    <x:tabColor rgb="FF087E8B"/>
  </x:sheetPr>
  <x:sheetViews>
    <x:sheetView showGridLines="0" workbookViewId="0">
      <x:pane ySplit="4" topLeftCell="A5" activePane="bottomLeft" state="frozen"/>
    </x:sheetView>
  </x:sheetViews>
  <x:sheetFormatPr defaultRowHeight="15"/>
  <x:cols>
    <x:col min="1" max="1" width="2" hidden="0" customWidth="1"/>
    <x:col min="2" max="2" width="2"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2"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s>
  <x:sheetData>
    <x:row r="1" ht="20" customHeight="1">
      <x:c r="A1" s="52"/>
      <x:c r="B1" s="52"/>
      <x:c r="C1" s="52"/>
      <x:c r="D1" s="52"/>
      <x:c r="E1" s="52"/>
      <x:c r="F1" s="52"/>
      <x:c r="G1" s="52"/>
      <x:c r="H1" s="52"/>
      <x:c r="I1" s="52"/>
      <x:c r="J1" s="52"/>
      <x:c r="K1" s="52"/>
      <x:c r="L1" s="52"/>
      <x:c r="M1" s="52"/>
      <x:c r="N1" s="52"/>
      <x:c r="O1" s="52"/>
      <x:c r="P1" s="52"/>
      <x:c r="Q1" s="52"/>
    </x:row>
    <x:row r="2" ht="36" customHeight="1">
      <x:c r="A2" s="52"/>
      <x:c r="B2" s="52"/>
      <x:c r="C2" s="55" t="str">
        <x:v>그날의 류 | 린캔버스 작성·복사</x:v>
      </x:c>
      <x:c r="D2" s="55"/>
      <x:c r="E2" s="55"/>
      <x:c r="F2" s="55"/>
      <x:c r="G2" s="55"/>
      <x:c r="H2" s="55"/>
      <x:c r="I2" s="55"/>
      <x:c r="J2" s="55"/>
      <x:c r="K2" s="55"/>
      <x:c r="L2" s="55"/>
      <x:c r="M2" s="55"/>
      <x:c r="N2" s="55"/>
      <x:c r="O2" s="55"/>
      <x:c r="P2" s="55"/>
      <x:c r="Q2" s="55"/>
    </x:row>
    <x:row r="3" ht="20" customHeight="1">
      <x:c r="A3" s="52"/>
      <x:c r="B3" s="52"/>
      <x:c r="C3" s="56" t="str">
        <x:v>① 01_가정에서 숫자 수정  →  ② 이 탭의 노란색 서술 수정  →  ③ 오른쪽 문안을 양식에 복사</x:v>
      </x:c>
      <x:c r="D3" s="56"/>
      <x:c r="E3" s="56"/>
      <x:c r="F3" s="56"/>
      <x:c r="G3" s="56"/>
      <x:c r="H3" s="56"/>
      <x:c r="I3" s="56"/>
      <x:c r="J3" s="56"/>
      <x:c r="K3" s="56"/>
      <x:c r="L3" s="56"/>
      <x:c r="M3" s="56"/>
      <x:c r="N3" s="56"/>
      <x:c r="O3" s="56"/>
      <x:c r="P3" s="56"/>
      <x:c r="Q3" s="56"/>
    </x:row>
    <x:row r="4" ht="28" customHeight="1">
      <x:c r="A4" s="52"/>
      <x:c r="B4" s="52"/>
      <x:c r="C4" s="58" t="str">
        <x:v>현재 시나리오</x:v>
      </x:c>
      <x:c r="D4" s="58"/>
      <x:c r="E4" s="58"/>
      <x:c r="F4" s="58"/>
      <x:c r="G4" s="60" t="str">
        <x:f>'01_가정'!H4</x:f>
        <x:v>기준</x:v>
      </x:c>
      <x:c r="H4" s="60"/>
      <x:c r="I4" s="60"/>
      <x:c r="J4" s="52"/>
      <x:c r="K4" s="61" t="str">
        <x:v>시나리오 선택: 01_가정!F4 (1 보수 / 2 기준 / 3 낙관)</x:v>
      </x:c>
      <x:c r="L4" s="61"/>
      <x:c r="M4" s="61"/>
      <x:c r="N4" s="61"/>
      <x:c r="O4" s="61"/>
      <x:c r="P4" s="61"/>
      <x:c r="Q4" s="61"/>
    </x:row>
    <x:row r="5" ht="20" customHeight="1">
      <x:c r="A5" s="52"/>
      <x:c r="B5" s="52"/>
      <x:c r="C5" s="52"/>
      <x:c r="D5" s="52"/>
      <x:c r="E5" s="52"/>
      <x:c r="F5" s="52"/>
      <x:c r="G5" s="52"/>
      <x:c r="H5" s="52"/>
      <x:c r="I5" s="52"/>
      <x:c r="J5" s="52"/>
      <x:c r="K5" s="52"/>
      <x:c r="L5" s="52"/>
      <x:c r="M5" s="52"/>
      <x:c r="N5" s="52"/>
      <x:c r="O5" s="52"/>
      <x:c r="P5" s="52"/>
      <x:c r="Q5" s="52"/>
    </x:row>
    <x:row r="6" ht="20" customHeight="1">
      <x:c r="A6" s="52"/>
      <x:c r="B6" s="52"/>
      <x:c r="C6" s="58" t="str">
        <x:v>팀명</x:v>
      </x:c>
      <x:c r="D6" s="58"/>
      <x:c r="E6" s="58"/>
      <x:c r="F6" s="63" t="str">
        <x:v>그날의 류</x:v>
      </x:c>
      <x:c r="G6" s="63"/>
      <x:c r="H6" s="63"/>
      <x:c r="I6" s="63"/>
      <x:c r="J6" s="52"/>
      <x:c r="K6" s="58" t="str">
        <x:v>사업 대상</x:v>
      </x:c>
      <x:c r="L6" s="58"/>
      <x:c r="M6" s="58"/>
      <x:c r="N6" s="63" t="str">
        <x:v>B2C</x:v>
      </x:c>
      <x:c r="O6" s="63"/>
      <x:c r="P6" s="63"/>
      <x:c r="Q6" s="63"/>
    </x:row>
    <x:row r="7" ht="30" customHeight="1">
      <x:c r="A7" s="52"/>
      <x:c r="B7" s="52"/>
      <x:c r="C7" s="58" t="str">
        <x:v>아이디어명</x:v>
      </x:c>
      <x:c r="D7" s="58"/>
      <x:c r="E7" s="58"/>
      <x:c r="F7" s="63" t="str">
        <x:v>그날의 류 — 발목 온열·압박 셀프케어와 교체형 패치</x:v>
      </x:c>
      <x:c r="G7" s="63"/>
      <x:c r="H7" s="63"/>
      <x:c r="I7" s="63"/>
      <x:c r="J7" s="63"/>
      <x:c r="K7" s="63"/>
      <x:c r="L7" s="63"/>
      <x:c r="M7" s="63"/>
      <x:c r="N7" s="63"/>
      <x:c r="O7" s="63"/>
      <x:c r="P7" s="63"/>
      <x:c r="Q7" s="63"/>
    </x:row>
    <x:row r="8" ht="20" customHeight="1">
      <x:c r="A8" s="52"/>
      <x:c r="B8" s="52"/>
      <x:c r="C8" s="52"/>
      <x:c r="D8" s="52"/>
      <x:c r="E8" s="52"/>
      <x:c r="F8" s="52"/>
      <x:c r="G8" s="52"/>
      <x:c r="H8" s="52"/>
      <x:c r="I8" s="52"/>
      <x:c r="J8" s="52"/>
      <x:c r="K8" s="52"/>
      <x:c r="L8" s="52"/>
      <x:c r="M8" s="52"/>
      <x:c r="N8" s="52"/>
      <x:c r="O8" s="52"/>
      <x:c r="P8" s="52"/>
      <x:c r="Q8" s="52"/>
    </x:row>
    <x:row r="9" ht="28" customHeight="1">
      <x:c r="A9" s="52"/>
      <x:c r="B9" s="52"/>
      <x:c r="C9" s="58" t="str">
        <x:v>팀원 1</x:v>
      </x:c>
      <x:c r="D9" s="58"/>
      <x:c r="E9" s="58"/>
      <x:c r="F9" s="63" t="str">
        <x:v>손수민</x:v>
      </x:c>
      <x:c r="G9" s="63"/>
      <x:c r="H9" s="63"/>
      <x:c r="I9" s="63" t="str">
        <x:v>사업 총괄·고객 검증·유통 협의 (역할 초안)</x:v>
      </x:c>
      <x:c r="J9" s="63"/>
      <x:c r="K9" s="63"/>
      <x:c r="L9" s="63"/>
      <x:c r="M9" s="63"/>
      <x:c r="N9" s="63"/>
      <x:c r="O9" s="63"/>
      <x:c r="P9" s="63"/>
      <x:c r="Q9" s="63"/>
    </x:row>
    <x:row r="10" ht="28" customHeight="1">
      <x:c r="A10" s="52"/>
      <x:c r="B10" s="52"/>
      <x:c r="C10" s="58" t="str">
        <x:v>팀원 2</x:v>
      </x:c>
      <x:c r="D10" s="58"/>
      <x:c r="E10" s="58"/>
      <x:c r="F10" s="63" t="str"/>
      <x:c r="G10" s="63"/>
      <x:c r="H10" s="63"/>
      <x:c r="I10" s="63" t="str">
        <x:v>사업성·손익·현금흐름 검증 (역할 초안)</x:v>
      </x:c>
      <x:c r="J10" s="63"/>
      <x:c r="K10" s="63"/>
      <x:c r="L10" s="63"/>
      <x:c r="M10" s="63"/>
      <x:c r="N10" s="63"/>
      <x:c r="O10" s="63"/>
      <x:c r="P10" s="63"/>
      <x:c r="Q10" s="63"/>
    </x:row>
    <x:row r="11" ht="28" customHeight="1">
      <x:c r="A11" s="52"/>
      <x:c r="B11" s="52"/>
      <x:c r="C11" s="58" t="str">
        <x:v>팀원 3</x:v>
      </x:c>
      <x:c r="D11" s="58"/>
      <x:c r="E11" s="58"/>
      <x:c r="F11" s="63" t="str"/>
      <x:c r="G11" s="63"/>
      <x:c r="H11" s="63"/>
      <x:c r="I11" s="63" t="str">
        <x:v>제품 개발·안전성·제조 검증 (역할 초안)</x:v>
      </x:c>
      <x:c r="J11" s="63"/>
      <x:c r="K11" s="63"/>
      <x:c r="L11" s="63"/>
      <x:c r="M11" s="63"/>
      <x:c r="N11" s="63"/>
      <x:c r="O11" s="63"/>
      <x:c r="P11" s="63"/>
      <x:c r="Q11" s="63"/>
    </x:row>
    <x:row r="12" ht="20" customHeight="1">
      <x:c r="A12" s="52"/>
      <x:c r="B12" s="52"/>
      <x:c r="C12" s="56" t="str">
        <x:v>팀원 이름·역할은 실제 구성에 맞춰 확정하세요. 아래 문안은 검증 전 사업계획 초안이며, 시장규모·매출·고객지표는 실적이 아닌 선택 시나리오의 가정입니다.</x:v>
      </x:c>
      <x:c r="D12" s="56"/>
      <x:c r="E12" s="56"/>
      <x:c r="F12" s="56"/>
      <x:c r="G12" s="56"/>
      <x:c r="H12" s="56"/>
      <x:c r="I12" s="56"/>
      <x:c r="J12" s="56"/>
      <x:c r="K12" s="56"/>
      <x:c r="L12" s="56"/>
      <x:c r="M12" s="56"/>
      <x:c r="N12" s="56"/>
      <x:c r="O12" s="56"/>
      <x:c r="P12" s="56"/>
      <x:c r="Q12" s="56"/>
    </x:row>
    <x:row r="13" ht="20" customHeight="1">
      <x:c r="A13" s="52"/>
      <x:c r="B13" s="52"/>
      <x:c r="C13" s="56"/>
      <x:c r="D13" s="56"/>
      <x:c r="E13" s="56"/>
      <x:c r="F13" s="56"/>
      <x:c r="G13" s="56"/>
      <x:c r="H13" s="56"/>
      <x:c r="I13" s="56"/>
      <x:c r="J13" s="56"/>
      <x:c r="K13" s="56"/>
      <x:c r="L13" s="56"/>
      <x:c r="M13" s="56"/>
      <x:c r="N13" s="56"/>
      <x:c r="O13" s="56"/>
      <x:c r="P13" s="56"/>
      <x:c r="Q13" s="56"/>
    </x:row>
    <x:row r="14" ht="20" customHeight="1">
      <x:c r="A14" s="52"/>
      <x:c r="B14" s="52"/>
      <x:c r="C14" s="52"/>
      <x:c r="D14" s="52"/>
      <x:c r="E14" s="52"/>
      <x:c r="F14" s="52"/>
      <x:c r="G14" s="52"/>
      <x:c r="H14" s="52"/>
      <x:c r="I14" s="52"/>
      <x:c r="J14" s="52"/>
      <x:c r="K14" s="52"/>
      <x:c r="L14" s="52"/>
      <x:c r="M14" s="52"/>
      <x:c r="N14" s="52"/>
      <x:c r="O14" s="52"/>
      <x:c r="P14" s="52"/>
      <x:c r="Q14" s="52"/>
    </x:row>
    <x:row r="15" ht="20" customHeight="1">
      <x:c r="A15" s="52"/>
      <x:c r="B15" s="52"/>
      <x:c r="C15" s="58" t="str">
        <x:v>숫자 확인 | 금액: 백만원, 본체 출고: 개</x:v>
      </x:c>
      <x:c r="D15" s="58"/>
      <x:c r="E15" s="58"/>
      <x:c r="F15" s="58"/>
      <x:c r="G15" s="58"/>
      <x:c r="H15" s="58"/>
      <x:c r="I15" s="58"/>
      <x:c r="J15" s="58"/>
      <x:c r="K15" s="58"/>
      <x:c r="L15" s="58"/>
      <x:c r="M15" s="58"/>
      <x:c r="N15" s="58"/>
      <x:c r="O15" s="58"/>
      <x:c r="P15" s="58"/>
      <x:c r="Q15" s="58"/>
    </x:row>
    <x:row r="16" ht="20" customHeight="1">
      <x:c r="A16" s="52"/>
      <x:c r="B16" s="52"/>
      <x:c r="C16" s="64" t="str">
        <x:v>주요 결과</x:v>
      </x:c>
      <x:c r="D16" s="64"/>
      <x:c r="E16" s="64"/>
      <x:c r="F16" s="64"/>
      <x:c r="G16" s="64" t="str">
        <x:v>1년차</x:v>
      </x:c>
      <x:c r="H16" s="64"/>
      <x:c r="I16" s="64"/>
      <x:c r="J16" s="52"/>
      <x:c r="K16" s="64" t="str">
        <x:v>2년차</x:v>
      </x:c>
      <x:c r="L16" s="64"/>
      <x:c r="M16" s="64"/>
      <x:c r="N16" s="64" t="str">
        <x:v>3년차</x:v>
      </x:c>
      <x:c r="O16" s="64"/>
      <x:c r="P16" s="64"/>
      <x:c r="Q16" s="64"/>
    </x:row>
    <x:row r="17" ht="26" customHeight="1">
      <x:c r="A17" s="52"/>
      <x:c r="B17" s="52"/>
      <x:c r="C17" s="54" t="str">
        <x:v>순매출 (VAT 제외·환불 차감)</x:v>
      </x:c>
      <x:c r="D17" s="54"/>
      <x:c r="E17" s="54"/>
      <x:c r="F17" s="54"/>
      <x:c r="G17" s="67" t="n">
        <x:f>'03_월별손익'!F33/1000000</x:f>
        <x:v>54.2352219180309</x:v>
      </x:c>
      <x:c r="H17" s="67"/>
      <x:c r="I17" s="67"/>
      <x:c r="J17" s="52"/>
      <x:c r="K17" s="67" t="n">
        <x:f>'03_월별손익'!G33/1000000</x:f>
        <x:v>533.1240120797883</x:v>
      </x:c>
      <x:c r="L17" s="67"/>
      <x:c r="M17" s="67"/>
      <x:c r="N17" s="67" t="n">
        <x:f>'03_월별손익'!H33/1000000</x:f>
        <x:v>1328.2982711318339</x:v>
      </x:c>
      <x:c r="O17" s="67"/>
      <x:c r="P17" s="67"/>
      <x:c r="Q17" s="67"/>
    </x:row>
    <x:row r="18" ht="26" customHeight="1">
      <x:c r="A18" s="52"/>
      <x:c r="B18" s="52"/>
      <x:c r="C18" s="54" t="str">
        <x:v>손익상 총비용 (감가상각 포함)</x:v>
      </x:c>
      <x:c r="D18" s="54"/>
      <x:c r="E18" s="54"/>
      <x:c r="F18" s="54"/>
      <x:c r="G18" s="67" t="n">
        <x:f>('03_월별손익'!F33-'03_월별손익'!F54)/1000000</x:f>
        <x:v>286.4064105925906</x:v>
      </x:c>
      <x:c r="H18" s="67"/>
      <x:c r="I18" s="67"/>
      <x:c r="J18" s="52"/>
      <x:c r="K18" s="67" t="n">
        <x:f>('03_월별손익'!G33-'03_월별손익'!G54)/1000000</x:f>
        <x:v>572.2877799825086</x:v>
      </x:c>
      <x:c r="L18" s="67"/>
      <x:c r="M18" s="67"/>
      <x:c r="N18" s="67" t="n">
        <x:f>('03_월별손익'!H33-'03_월별손익'!H54)/1000000</x:f>
        <x:v>1087.7318280169638</x:v>
      </x:c>
      <x:c r="O18" s="67"/>
      <x:c r="P18" s="67"/>
      <x:c r="Q18" s="67"/>
    </x:row>
    <x:row r="19" ht="26" customHeight="1">
      <x:c r="A19" s="52"/>
      <x:c r="B19" s="52"/>
      <x:c r="C19" s="54" t="str">
        <x:v>영업이익</x:v>
      </x:c>
      <x:c r="D19" s="54"/>
      <x:c r="E19" s="54"/>
      <x:c r="F19" s="54"/>
      <x:c r="G19" s="69" t="n">
        <x:f>'03_월별손익'!F54/1000000</x:f>
        <x:v>-232.1711886745597</x:v>
      </x:c>
      <x:c r="H19" s="69"/>
      <x:c r="I19" s="69"/>
      <x:c r="J19" s="52"/>
      <x:c r="K19" s="69" t="n">
        <x:f>'03_월별손익'!G54/1000000</x:f>
        <x:v>-39.16376790272027</x:v>
      </x:c>
      <x:c r="L19" s="69"/>
      <x:c r="M19" s="69"/>
      <x:c r="N19" s="69" t="n">
        <x:f>'03_월별손익'!H54/1000000</x:f>
        <x:v>240.56644311486977</x:v>
      </x:c>
      <x:c r="O19" s="69"/>
      <x:c r="P19" s="69"/>
      <x:c r="Q19" s="69"/>
    </x:row>
    <x:row r="20" ht="26" customHeight="1">
      <x:c r="A20" s="52"/>
      <x:c r="B20" s="52"/>
      <x:c r="C20" s="54" t="str">
        <x:v>기말 현금 (추가 조달 전)</x:v>
      </x:c>
      <x:c r="D20" s="54"/>
      <x:c r="E20" s="54"/>
      <x:c r="F20" s="54"/>
      <x:c r="G20" s="67" t="n">
        <x:f>'04_재고현금'!F43/1000000</x:f>
        <x:v>3.6618035690954627</x:v>
      </x:c>
      <x:c r="H20" s="67"/>
      <x:c r="I20" s="67"/>
      <x:c r="J20" s="52"/>
      <x:c r="K20" s="67" t="n">
        <x:f>'04_재고현금'!G43/1000000</x:f>
        <x:v>-47.31309152871157</x:v>
      </x:c>
      <x:c r="L20" s="67"/>
      <x:c r="M20" s="67"/>
      <x:c r="N20" s="67" t="n">
        <x:f>'04_재고현금'!H43/1000000</x:f>
        <x:v>271.59645334205425</x:v>
      </x:c>
      <x:c r="O20" s="67"/>
      <x:c r="P20" s="67"/>
      <x:c r="Q20" s="67"/>
    </x:row>
    <x:row r="21" ht="26" customHeight="1">
      <x:c r="A21" s="52"/>
      <x:c r="B21" s="52"/>
      <x:c r="C21" s="54" t="str">
        <x:v>본체 출고</x:v>
      </x:c>
      <x:c r="D21" s="54"/>
      <x:c r="E21" s="54"/>
      <x:c r="F21" s="54"/>
      <x:c r="G21" s="71" t="n">
        <x:f>'03_월별손익'!F19</x:f>
        <x:v>418</x:v>
      </x:c>
      <x:c r="H21" s="71"/>
      <x:c r="I21" s="71"/>
      <x:c r="J21" s="52"/>
      <x:c r="K21" s="71" t="n">
        <x:f>'03_월별손익'!G19</x:f>
        <x:v>3780</x:v>
      </x:c>
      <x:c r="L21" s="71"/>
      <x:c r="M21" s="71"/>
      <x:c r="N21" s="71" t="n">
        <x:f>'03_월별손익'!H19</x:f>
        <x:v>8820</x:v>
      </x:c>
      <x:c r="O21" s="71"/>
      <x:c r="P21" s="71"/>
      <x:c r="Q21" s="71"/>
    </x:row>
    <x:row r="22" ht="20" customHeight="1">
      <x:c r="A22" s="52"/>
      <x:c r="B22" s="52"/>
      <x:c r="C22" s="52"/>
      <x:c r="D22" s="52"/>
      <x:c r="E22" s="52"/>
      <x:c r="F22" s="52"/>
      <x:c r="G22" s="52"/>
      <x:c r="H22" s="52"/>
      <x:c r="I22" s="52"/>
      <x:c r="J22" s="52"/>
      <x:c r="K22" s="52"/>
      <x:c r="L22" s="52"/>
      <x:c r="M22" s="52"/>
      <x:c r="N22" s="52"/>
      <x:c r="O22" s="52"/>
      <x:c r="P22" s="52"/>
      <x:c r="Q22" s="52"/>
    </x:row>
    <x:row r="23" ht="20" customHeight="1">
      <x:c r="A23" s="52"/>
      <x:c r="B23" s="52"/>
      <x:c r="C23" s="60" t="str">
        <x:f>"초기 투자금 "&amp;TEXT('01_가정'!F105/100000000,"0.0")&amp;"억원 | 36개월 최대 추가자금 필요 "&amp;TEXT('00_투자판단'!F23/1000000,"#,##0.0")&amp;"백만원 | 최소 현금 "&amp;TEXT('01_가정'!F106/1000000,"#,##0.0")&amp;"백만원 유지 기준. 초기 투자금은 자금 유입이며 손익상 비용과 다릅니다."</x:f>
        <x:v>초기 투자금 3.0억원 | 36개월 최대 추가자금 필요 94.6백만원 | 최소 현금 30.0백만원 유지 기준. 초기 투자금은 자금 유입이며 손익상 비용과 다릅니다.</x:v>
      </x:c>
      <x:c r="D23" s="60"/>
      <x:c r="E23" s="60"/>
      <x:c r="F23" s="60"/>
      <x:c r="G23" s="60"/>
      <x:c r="H23" s="60"/>
      <x:c r="I23" s="60"/>
      <x:c r="J23" s="60"/>
      <x:c r="K23" s="60"/>
      <x:c r="L23" s="60"/>
      <x:c r="M23" s="60"/>
      <x:c r="N23" s="60"/>
      <x:c r="O23" s="60"/>
      <x:c r="P23" s="60"/>
      <x:c r="Q23" s="60"/>
    </x:row>
    <x:row r="24" ht="20" customHeight="1">
      <x:c r="A24" s="52"/>
      <x:c r="B24" s="52"/>
      <x:c r="C24" s="60"/>
      <x:c r="D24" s="60"/>
      <x:c r="E24" s="60"/>
      <x:c r="F24" s="60"/>
      <x:c r="G24" s="60"/>
      <x:c r="H24" s="60"/>
      <x:c r="I24" s="60"/>
      <x:c r="J24" s="60"/>
      <x:c r="K24" s="60"/>
      <x:c r="L24" s="60"/>
      <x:c r="M24" s="60"/>
      <x:c r="N24" s="60"/>
      <x:c r="O24" s="60"/>
      <x:c r="P24" s="60"/>
      <x:c r="Q24" s="60"/>
    </x:row>
    <x:row r="25" ht="20" customHeight="1">
      <x:c r="A25" s="52"/>
      <x:c r="B25" s="52"/>
      <x:c r="C25" s="56" t="str">
        <x:v>노란색 칸에는 설명을 수정하고, 숫자는 01_가정에서 수정하세요. 오른쪽 칸은 수식이므로 덮어쓰지 마세요. 복사할 때는 오른쪽 셀을 선택해 Ctrl+C 후 양식 입력란에 붙여넣으세요.</x:v>
      </x:c>
      <x:c r="D25" s="56"/>
      <x:c r="E25" s="56"/>
      <x:c r="F25" s="56"/>
      <x:c r="G25" s="56"/>
      <x:c r="H25" s="56"/>
      <x:c r="I25" s="56"/>
      <x:c r="J25" s="56"/>
      <x:c r="K25" s="56"/>
      <x:c r="L25" s="56"/>
      <x:c r="M25" s="56"/>
      <x:c r="N25" s="56"/>
      <x:c r="O25" s="56"/>
      <x:c r="P25" s="56"/>
      <x:c r="Q25" s="56"/>
    </x:row>
    <x:row r="26" ht="20" customHeight="1">
      <x:c r="A26" s="52"/>
      <x:c r="B26" s="52"/>
      <x:c r="C26" s="56"/>
      <x:c r="D26" s="56"/>
      <x:c r="E26" s="56"/>
      <x:c r="F26" s="56"/>
      <x:c r="G26" s="56"/>
      <x:c r="H26" s="56"/>
      <x:c r="I26" s="56"/>
      <x:c r="J26" s="56"/>
      <x:c r="K26" s="56"/>
      <x:c r="L26" s="56"/>
      <x:c r="M26" s="56"/>
      <x:c r="N26" s="56"/>
      <x:c r="O26" s="56"/>
      <x:c r="P26" s="56"/>
      <x:c r="Q26" s="56"/>
    </x:row>
    <x:row r="27" ht="20" customHeight="1">
      <x:c r="A27" s="52"/>
      <x:c r="B27" s="52"/>
      <x:c r="C27" s="52"/>
      <x:c r="D27" s="52"/>
      <x:c r="E27" s="52"/>
      <x:c r="F27" s="52"/>
      <x:c r="G27" s="52"/>
      <x:c r="H27" s="52"/>
      <x:c r="I27" s="52"/>
      <x:c r="J27" s="52"/>
      <x:c r="K27" s="52"/>
      <x:c r="L27" s="52"/>
      <x:c r="M27" s="52"/>
      <x:c r="N27" s="52"/>
      <x:c r="O27" s="52"/>
      <x:c r="P27" s="52"/>
      <x:c r="Q27" s="52"/>
    </x:row>
    <x:row r="28" ht="28" customHeight="1">
      <x:c r="A28" s="52"/>
      <x:c r="B28" s="52"/>
      <x:c r="C28" s="58" t="str">
        <x:v>01  문제 (Problem)</x:v>
      </x:c>
      <x:c r="D28" s="58"/>
      <x:c r="E28" s="58"/>
      <x:c r="F28" s="58"/>
      <x:c r="G28" s="58"/>
      <x:c r="H28" s="58"/>
      <x:c r="I28" s="58"/>
      <x:c r="J28" s="58"/>
      <x:c r="K28" s="58"/>
      <x:c r="L28" s="58"/>
      <x:c r="M28" s="58"/>
      <x:c r="N28" s="58"/>
      <x:c r="O28" s="58"/>
      <x:c r="P28" s="58"/>
      <x:c r="Q28" s="58"/>
    </x:row>
    <x:row r="29" ht="20" customHeight="1">
      <x:c r="A29" s="52"/>
      <x:c r="B29" s="52"/>
      <x:c r="C29" s="73" t="str">
        <x:v>서술 초안 | 직접 수정</x:v>
      </x:c>
      <x:c r="D29" s="73"/>
      <x:c r="E29" s="73"/>
      <x:c r="F29" s="73"/>
      <x:c r="G29" s="73"/>
      <x:c r="H29" s="73"/>
      <x:c r="I29" s="73"/>
      <x:c r="J29" s="52"/>
      <x:c r="K29" s="75" t="str">
        <x:v>제출 문안 | 자동 연결 · 이 셀을 복사</x:v>
      </x:c>
      <x:c r="L29" s="75"/>
      <x:c r="M29" s="75"/>
      <x:c r="N29" s="75"/>
      <x:c r="O29" s="75"/>
      <x:c r="P29" s="75"/>
      <x:c r="Q29" s="75"/>
    </x:row>
    <x:row r="30" ht="20" customHeight="1">
      <x:c r="A30" s="52"/>
      <x:c r="B30" s="52"/>
      <x:c r="C30" s="76" t="str">
        <x:v>생리 전후 불편감 때문에 온열·마사지 등 셀프케어를 하는 성인 여성 중, 손으로 발목의 같은 부위를 반복해서 누르는 방식이 번거롭고 위치·압박 강도를 일정하게 유지하기 어렵다는 고객 가설을 검증한다. 기존 대안은 손 지압, 온열팩, 저주파 기기, 일반 마사지기 등이다. 생리 지연·불순 개선은 원안의 문제의식이며, 본 제품의 효과로 입증된 사실은 아니다.</x:v>
      </x:c>
      <x:c r="D30" s="76"/>
      <x:c r="E30" s="76"/>
      <x:c r="F30" s="76"/>
      <x:c r="G30" s="76"/>
      <x:c r="H30" s="76"/>
      <x:c r="I30" s="76"/>
      <x:c r="J30" s="52"/>
      <x:c r="K30" s="78" t="str">
        <x:f>IF(LEN(C30)=0,"[작성 필요]",C30)</x:f>
        <x:v>생리 전후 불편감 때문에 온열·마사지 등 셀프케어를 하는 성인 여성 중, 손으로 발목의 같은 부위를 반복해서 누르는 방식이 번거롭고 위치·압박 강도를 일정하게 유지하기 어렵다는 고객 가설을 검증한다. 기존 대안은 손 지압, 온열팩, 저주파 기기, 일반 마사지기 등이다. 생리 지연·불순 개선은 원안의 문제의식이며, 본 제품의 효과로 입증된 사실은 아니다.</x:v>
      </x:c>
      <x:c r="L30" s="78"/>
      <x:c r="M30" s="78"/>
      <x:c r="N30" s="78"/>
      <x:c r="O30" s="78"/>
      <x:c r="P30" s="78"/>
      <x:c r="Q30" s="78"/>
    </x:row>
    <x:row r="31" ht="20" customHeight="1">
      <x:c r="A31" s="52"/>
      <x:c r="B31" s="52"/>
      <x:c r="C31" s="76"/>
      <x:c r="D31" s="76"/>
      <x:c r="E31" s="76"/>
      <x:c r="F31" s="76"/>
      <x:c r="G31" s="76"/>
      <x:c r="H31" s="76"/>
      <x:c r="I31" s="76"/>
      <x:c r="J31" s="52"/>
      <x:c r="K31" s="78"/>
      <x:c r="L31" s="78"/>
      <x:c r="M31" s="78"/>
      <x:c r="N31" s="78"/>
      <x:c r="O31" s="78"/>
      <x:c r="P31" s="78"/>
      <x:c r="Q31" s="78"/>
    </x:row>
    <x:row r="32" ht="20" customHeight="1">
      <x:c r="A32" s="52"/>
      <x:c r="B32" s="52"/>
      <x:c r="C32" s="76"/>
      <x:c r="D32" s="76"/>
      <x:c r="E32" s="76"/>
      <x:c r="F32" s="76"/>
      <x:c r="G32" s="76"/>
      <x:c r="H32" s="76"/>
      <x:c r="I32" s="76"/>
      <x:c r="J32" s="52"/>
      <x:c r="K32" s="78"/>
      <x:c r="L32" s="78"/>
      <x:c r="M32" s="78"/>
      <x:c r="N32" s="78"/>
      <x:c r="O32" s="78"/>
      <x:c r="P32" s="78"/>
      <x:c r="Q32" s="78"/>
    </x:row>
    <x:row r="33" ht="20" customHeight="1">
      <x:c r="A33" s="52"/>
      <x:c r="B33" s="52"/>
      <x:c r="C33" s="76"/>
      <x:c r="D33" s="76"/>
      <x:c r="E33" s="76"/>
      <x:c r="F33" s="76"/>
      <x:c r="G33" s="76"/>
      <x:c r="H33" s="76"/>
      <x:c r="I33" s="76"/>
      <x:c r="J33" s="52"/>
      <x:c r="K33" s="78"/>
      <x:c r="L33" s="78"/>
      <x:c r="M33" s="78"/>
      <x:c r="N33" s="78"/>
      <x:c r="O33" s="78"/>
      <x:c r="P33" s="78"/>
      <x:c r="Q33" s="78"/>
    </x:row>
    <x:row r="34" ht="20" customHeight="1">
      <x:c r="A34" s="52"/>
      <x:c r="B34" s="52"/>
      <x:c r="C34" s="76"/>
      <x:c r="D34" s="76"/>
      <x:c r="E34" s="76"/>
      <x:c r="F34" s="76"/>
      <x:c r="G34" s="76"/>
      <x:c r="H34" s="76"/>
      <x:c r="I34" s="76"/>
      <x:c r="J34" s="52"/>
      <x:c r="K34" s="78"/>
      <x:c r="L34" s="78"/>
      <x:c r="M34" s="78"/>
      <x:c r="N34" s="78"/>
      <x:c r="O34" s="78"/>
      <x:c r="P34" s="78"/>
      <x:c r="Q34" s="78"/>
    </x:row>
    <x:row r="35" ht="20" customHeight="1">
      <x:c r="A35" s="52"/>
      <x:c r="B35" s="52"/>
      <x:c r="C35" s="76"/>
      <x:c r="D35" s="76"/>
      <x:c r="E35" s="76"/>
      <x:c r="F35" s="76"/>
      <x:c r="G35" s="76"/>
      <x:c r="H35" s="76"/>
      <x:c r="I35" s="76"/>
      <x:c r="J35" s="52"/>
      <x:c r="K35" s="78"/>
      <x:c r="L35" s="78"/>
      <x:c r="M35" s="78"/>
      <x:c r="N35" s="78"/>
      <x:c r="O35" s="78"/>
      <x:c r="P35" s="78"/>
      <x:c r="Q35" s="78"/>
    </x:row>
    <x:row r="36" ht="20" customHeight="1">
      <x:c r="A36" s="52"/>
      <x:c r="B36" s="52"/>
      <x:c r="C36" s="76"/>
      <x:c r="D36" s="76"/>
      <x:c r="E36" s="76"/>
      <x:c r="F36" s="76"/>
      <x:c r="G36" s="76"/>
      <x:c r="H36" s="76"/>
      <x:c r="I36" s="76"/>
      <x:c r="J36" s="52"/>
      <x:c r="K36" s="78"/>
      <x:c r="L36" s="78"/>
      <x:c r="M36" s="78"/>
      <x:c r="N36" s="78"/>
      <x:c r="O36" s="78"/>
      <x:c r="P36" s="78"/>
      <x:c r="Q36" s="78"/>
    </x:row>
    <x:row r="37" ht="20" customHeight="1">
      <x:c r="A37" s="52"/>
      <x:c r="B37" s="52"/>
      <x:c r="C37" s="76"/>
      <x:c r="D37" s="76"/>
      <x:c r="E37" s="76"/>
      <x:c r="F37" s="76"/>
      <x:c r="G37" s="76"/>
      <x:c r="H37" s="76"/>
      <x:c r="I37" s="76"/>
      <x:c r="J37" s="52"/>
      <x:c r="K37" s="78"/>
      <x:c r="L37" s="78"/>
      <x:c r="M37" s="78"/>
      <x:c r="N37" s="78"/>
      <x:c r="O37" s="78"/>
      <x:c r="P37" s="78"/>
      <x:c r="Q37" s="78"/>
    </x:row>
    <x:row r="38" ht="20" customHeight="1">
      <x:c r="A38" s="52"/>
      <x:c r="B38" s="52"/>
      <x:c r="C38" s="61" t="str">
        <x:v>작성 근거: 실제 아이디어 제안서·고객 가설. 07_근거원문 참조. 고객 인터뷰 후 표현을 수정하세요.</x:v>
      </x:c>
      <x:c r="D38" s="61"/>
      <x:c r="E38" s="61"/>
      <x:c r="F38" s="61"/>
      <x:c r="G38" s="61"/>
      <x:c r="H38" s="61"/>
      <x:c r="I38" s="61"/>
      <x:c r="J38" s="61"/>
      <x:c r="K38" s="61"/>
      <x:c r="L38" s="61"/>
      <x:c r="M38" s="61"/>
      <x:c r="N38" s="61"/>
      <x:c r="O38" s="61"/>
      <x:c r="P38" s="61"/>
      <x:c r="Q38" s="61"/>
    </x:row>
    <x:row r="39" ht="20" customHeight="1">
      <x:c r="A39" s="52"/>
      <x:c r="B39" s="52"/>
      <x:c r="C39" s="61"/>
      <x:c r="D39" s="61"/>
      <x:c r="E39" s="61"/>
      <x:c r="F39" s="61"/>
      <x:c r="G39" s="61"/>
      <x:c r="H39" s="61"/>
      <x:c r="I39" s="61"/>
      <x:c r="J39" s="61"/>
      <x:c r="K39" s="61"/>
      <x:c r="L39" s="61"/>
      <x:c r="M39" s="61"/>
      <x:c r="N39" s="61"/>
      <x:c r="O39" s="61"/>
      <x:c r="P39" s="61"/>
      <x:c r="Q39" s="61"/>
    </x:row>
    <x:row r="40" ht="20" customHeight="1">
      <x:c r="A40" s="52"/>
      <x:c r="B40" s="52"/>
      <x:c r="C40" s="52"/>
      <x:c r="D40" s="52"/>
      <x:c r="E40" s="52"/>
      <x:c r="F40" s="52"/>
      <x:c r="G40" s="52"/>
      <x:c r="H40" s="52"/>
      <x:c r="I40" s="52"/>
      <x:c r="J40" s="52"/>
      <x:c r="K40" s="52"/>
      <x:c r="L40" s="52"/>
      <x:c r="M40" s="52"/>
      <x:c r="N40" s="52"/>
      <x:c r="O40" s="52"/>
      <x:c r="P40" s="52"/>
      <x:c r="Q40" s="52"/>
    </x:row>
    <x:row r="41" ht="28" customHeight="1">
      <x:c r="A41" s="52"/>
      <x:c r="B41" s="52"/>
      <x:c r="C41" s="58" t="str">
        <x:v>02  고객 세그먼트 (Customer Segments)</x:v>
      </x:c>
      <x:c r="D41" s="58"/>
      <x:c r="E41" s="58"/>
      <x:c r="F41" s="58"/>
      <x:c r="G41" s="58"/>
      <x:c r="H41" s="58"/>
      <x:c r="I41" s="58"/>
      <x:c r="J41" s="58"/>
      <x:c r="K41" s="58"/>
      <x:c r="L41" s="58"/>
      <x:c r="M41" s="58"/>
      <x:c r="N41" s="58"/>
      <x:c r="O41" s="58"/>
      <x:c r="P41" s="58"/>
      <x:c r="Q41" s="58"/>
    </x:row>
    <x:row r="42" ht="20" customHeight="1">
      <x:c r="A42" s="52"/>
      <x:c r="B42" s="52"/>
      <x:c r="C42" s="73" t="str">
        <x:v>서술 초안 | 직접 수정</x:v>
      </x:c>
      <x:c r="D42" s="73"/>
      <x:c r="E42" s="73"/>
      <x:c r="F42" s="73"/>
      <x:c r="G42" s="73"/>
      <x:c r="H42" s="73"/>
      <x:c r="I42" s="73"/>
      <x:c r="J42" s="52"/>
      <x:c r="K42" s="75" t="str">
        <x:v>제출 문안 | 자동 연결 · 이 셀을 복사</x:v>
      </x:c>
      <x:c r="L42" s="75"/>
      <x:c r="M42" s="75"/>
      <x:c r="N42" s="75"/>
      <x:c r="O42" s="75"/>
      <x:c r="P42" s="75"/>
      <x:c r="Q42" s="75"/>
    </x:row>
    <x:row r="43" ht="20" customHeight="1">
      <x:c r="A43" s="52"/>
      <x:c r="B43" s="52"/>
      <x:c r="C43" s="76" t="str">
        <x:v>초기 고객은 생리 전후 불편감으로 온열·마사지 제품을 이미 사용하며, 집이나 사무실에서 앉아 있는 동안 짧은 셀프케어를 원하는 성인 여성으로 설정한다. 모든 여성을 한 번에 대상으로 삼기보다, 기존 대안에 시간·비용을 쓰고 반복 사용 의사가 있는 고객부터 검증한다. 구매자·사용자·사용 상황과 가격 수용도를 인터뷰로 구체화한다.</x:v>
      </x:c>
      <x:c r="D43" s="76"/>
      <x:c r="E43" s="76"/>
      <x:c r="F43" s="76"/>
      <x:c r="G43" s="76"/>
      <x:c r="H43" s="76"/>
      <x:c r="I43" s="76"/>
      <x:c r="J43" s="52"/>
      <x:c r="K43" s="78" t="str">
        <x:f>IF(LEN(C43)=0,"[작성 필요]",C43)</x:f>
        <x:v>초기 고객은 생리 전후 불편감으로 온열·마사지 제품을 이미 사용하며, 집이나 사무실에서 앉아 있는 동안 짧은 셀프케어를 원하는 성인 여성으로 설정한다. 모든 여성을 한 번에 대상으로 삼기보다, 기존 대안에 시간·비용을 쓰고 반복 사용 의사가 있는 고객부터 검증한다. 구매자·사용자·사용 상황과 가격 수용도를 인터뷰로 구체화한다.</x:v>
      </x:c>
      <x:c r="L43" s="78"/>
      <x:c r="M43" s="78"/>
      <x:c r="N43" s="78"/>
      <x:c r="O43" s="78"/>
      <x:c r="P43" s="78"/>
      <x:c r="Q43" s="78"/>
    </x:row>
    <x:row r="44" ht="20" customHeight="1">
      <x:c r="A44" s="52"/>
      <x:c r="B44" s="52"/>
      <x:c r="C44" s="76"/>
      <x:c r="D44" s="76"/>
      <x:c r="E44" s="76"/>
      <x:c r="F44" s="76"/>
      <x:c r="G44" s="76"/>
      <x:c r="H44" s="76"/>
      <x:c r="I44" s="76"/>
      <x:c r="J44" s="52"/>
      <x:c r="K44" s="78"/>
      <x:c r="L44" s="78"/>
      <x:c r="M44" s="78"/>
      <x:c r="N44" s="78"/>
      <x:c r="O44" s="78"/>
      <x:c r="P44" s="78"/>
      <x:c r="Q44" s="78"/>
    </x:row>
    <x:row r="45" ht="20" customHeight="1">
      <x:c r="A45" s="52"/>
      <x:c r="B45" s="52"/>
      <x:c r="C45" s="76"/>
      <x:c r="D45" s="76"/>
      <x:c r="E45" s="76"/>
      <x:c r="F45" s="76"/>
      <x:c r="G45" s="76"/>
      <x:c r="H45" s="76"/>
      <x:c r="I45" s="76"/>
      <x:c r="J45" s="52"/>
      <x:c r="K45" s="78"/>
      <x:c r="L45" s="78"/>
      <x:c r="M45" s="78"/>
      <x:c r="N45" s="78"/>
      <x:c r="O45" s="78"/>
      <x:c r="P45" s="78"/>
      <x:c r="Q45" s="78"/>
    </x:row>
    <x:row r="46" ht="20" customHeight="1">
      <x:c r="A46" s="52"/>
      <x:c r="B46" s="52"/>
      <x:c r="C46" s="76"/>
      <x:c r="D46" s="76"/>
      <x:c r="E46" s="76"/>
      <x:c r="F46" s="76"/>
      <x:c r="G46" s="76"/>
      <x:c r="H46" s="76"/>
      <x:c r="I46" s="76"/>
      <x:c r="J46" s="52"/>
      <x:c r="K46" s="78"/>
      <x:c r="L46" s="78"/>
      <x:c r="M46" s="78"/>
      <x:c r="N46" s="78"/>
      <x:c r="O46" s="78"/>
      <x:c r="P46" s="78"/>
      <x:c r="Q46" s="78"/>
    </x:row>
    <x:row r="47" ht="20" customHeight="1">
      <x:c r="A47" s="52"/>
      <x:c r="B47" s="52"/>
      <x:c r="C47" s="76"/>
      <x:c r="D47" s="76"/>
      <x:c r="E47" s="76"/>
      <x:c r="F47" s="76"/>
      <x:c r="G47" s="76"/>
      <x:c r="H47" s="76"/>
      <x:c r="I47" s="76"/>
      <x:c r="J47" s="52"/>
      <x:c r="K47" s="78"/>
      <x:c r="L47" s="78"/>
      <x:c r="M47" s="78"/>
      <x:c r="N47" s="78"/>
      <x:c r="O47" s="78"/>
      <x:c r="P47" s="78"/>
      <x:c r="Q47" s="78"/>
    </x:row>
    <x:row r="48" ht="20" customHeight="1">
      <x:c r="A48" s="52"/>
      <x:c r="B48" s="52"/>
      <x:c r="C48" s="76"/>
      <x:c r="D48" s="76"/>
      <x:c r="E48" s="76"/>
      <x:c r="F48" s="76"/>
      <x:c r="G48" s="76"/>
      <x:c r="H48" s="76"/>
      <x:c r="I48" s="76"/>
      <x:c r="J48" s="52"/>
      <x:c r="K48" s="78"/>
      <x:c r="L48" s="78"/>
      <x:c r="M48" s="78"/>
      <x:c r="N48" s="78"/>
      <x:c r="O48" s="78"/>
      <x:c r="P48" s="78"/>
      <x:c r="Q48" s="78"/>
    </x:row>
    <x:row r="49" ht="20" customHeight="1">
      <x:c r="A49" s="52"/>
      <x:c r="B49" s="52"/>
      <x:c r="C49" s="76"/>
      <x:c r="D49" s="76"/>
      <x:c r="E49" s="76"/>
      <x:c r="F49" s="76"/>
      <x:c r="G49" s="76"/>
      <x:c r="H49" s="76"/>
      <x:c r="I49" s="76"/>
      <x:c r="J49" s="52"/>
      <x:c r="K49" s="78"/>
      <x:c r="L49" s="78"/>
      <x:c r="M49" s="78"/>
      <x:c r="N49" s="78"/>
      <x:c r="O49" s="78"/>
      <x:c r="P49" s="78"/>
      <x:c r="Q49" s="78"/>
    </x:row>
    <x:row r="50" ht="20" customHeight="1">
      <x:c r="A50" s="52"/>
      <x:c r="B50" s="52"/>
      <x:c r="C50" s="61" t="str">
        <x:v>초기 고객은 가설입니다. 고객 범위를 좁힐수록 06_시장경쟁의 시장규모 가정도 함께 검토하세요.</x:v>
      </x:c>
      <x:c r="D50" s="61"/>
      <x:c r="E50" s="61"/>
      <x:c r="F50" s="61"/>
      <x:c r="G50" s="61"/>
      <x:c r="H50" s="61"/>
      <x:c r="I50" s="61"/>
      <x:c r="J50" s="61"/>
      <x:c r="K50" s="61"/>
      <x:c r="L50" s="61"/>
      <x:c r="M50" s="61"/>
      <x:c r="N50" s="61"/>
      <x:c r="O50" s="61"/>
      <x:c r="P50" s="61"/>
      <x:c r="Q50" s="61"/>
    </x:row>
    <x:row r="51" ht="20" customHeight="1">
      <x:c r="A51" s="52"/>
      <x:c r="B51" s="52"/>
      <x:c r="C51" s="61"/>
      <x:c r="D51" s="61"/>
      <x:c r="E51" s="61"/>
      <x:c r="F51" s="61"/>
      <x:c r="G51" s="61"/>
      <x:c r="H51" s="61"/>
      <x:c r="I51" s="61"/>
      <x:c r="J51" s="61"/>
      <x:c r="K51" s="61"/>
      <x:c r="L51" s="61"/>
      <x:c r="M51" s="61"/>
      <x:c r="N51" s="61"/>
      <x:c r="O51" s="61"/>
      <x:c r="P51" s="61"/>
      <x:c r="Q51" s="61"/>
    </x:row>
    <x:row r="52" ht="20" customHeight="1">
      <x:c r="A52" s="52"/>
      <x:c r="B52" s="52"/>
      <x:c r="C52" s="52"/>
      <x:c r="D52" s="52"/>
      <x:c r="E52" s="52"/>
      <x:c r="F52" s="52"/>
      <x:c r="G52" s="52"/>
      <x:c r="H52" s="52"/>
      <x:c r="I52" s="52"/>
      <x:c r="J52" s="52"/>
      <x:c r="K52" s="52"/>
      <x:c r="L52" s="52"/>
      <x:c r="M52" s="52"/>
      <x:c r="N52" s="52"/>
      <x:c r="O52" s="52"/>
      <x:c r="P52" s="52"/>
      <x:c r="Q52" s="52"/>
    </x:row>
    <x:row r="53" ht="28" customHeight="1">
      <x:c r="A53" s="52"/>
      <x:c r="B53" s="52"/>
      <x:c r="C53" s="58" t="str">
        <x:v>03  가치 제안 (Unique Value Proposition)</x:v>
      </x:c>
      <x:c r="D53" s="58"/>
      <x:c r="E53" s="58"/>
      <x:c r="F53" s="58"/>
      <x:c r="G53" s="58"/>
      <x:c r="H53" s="58"/>
      <x:c r="I53" s="58"/>
      <x:c r="J53" s="58"/>
      <x:c r="K53" s="58"/>
      <x:c r="L53" s="58"/>
      <x:c r="M53" s="58"/>
      <x:c r="N53" s="58"/>
      <x:c r="O53" s="58"/>
      <x:c r="P53" s="58"/>
      <x:c r="Q53" s="58"/>
    </x:row>
    <x:row r="54" ht="20" customHeight="1">
      <x:c r="A54" s="52"/>
      <x:c r="B54" s="52"/>
      <x:c r="C54" s="73" t="str">
        <x:v>서술 초안 | 직접 수정</x:v>
      </x:c>
      <x:c r="D54" s="73"/>
      <x:c r="E54" s="73"/>
      <x:c r="F54" s="73"/>
      <x:c r="G54" s="73"/>
      <x:c r="H54" s="73"/>
      <x:c r="I54" s="73"/>
      <x:c r="J54" s="52"/>
      <x:c r="K54" s="75" t="str">
        <x:v>제출 문안 | 자동 연결 · 이 셀을 복사</x:v>
      </x:c>
      <x:c r="L54" s="75"/>
      <x:c r="M54" s="75"/>
      <x:c r="N54" s="75"/>
      <x:c r="O54" s="75"/>
      <x:c r="P54" s="75"/>
      <x:c r="Q54" s="75"/>
    </x:row>
    <x:row r="55" ht="20" customHeight="1">
      <x:c r="A55" s="52"/>
      <x:c r="B55" s="52"/>
      <x:c r="C55" s="76" t="str">
        <x:v>손으로 계속 누르지 않아도 발목 셀프케어를 반복할 수 있도록, 착용 위치 안내와 온열·공기압 기능을 결합한 사용 경험을 제공하고자 한다. 핵심 가치는 짧은 시간 안에 간편하게 착용·사용하는 편의성이다. 생리주기 정상화나 치료 효과를 약속하지 않으며, 지불 의사와 실제 사용 편의성을 우선 확인한다.</x:v>
      </x:c>
      <x:c r="D55" s="76"/>
      <x:c r="E55" s="76"/>
      <x:c r="F55" s="76"/>
      <x:c r="G55" s="76"/>
      <x:c r="H55" s="76"/>
      <x:c r="I55" s="76"/>
      <x:c r="J55" s="52"/>
      <x:c r="K55" s="78" t="str">
        <x:f>IF(LEN(C55)=0,"[작성 필요]",C55)</x:f>
        <x:v>손으로 계속 누르지 않아도 발목 셀프케어를 반복할 수 있도록, 착용 위치 안내와 온열·공기압 기능을 결합한 사용 경험을 제공하고자 한다. 핵심 가치는 짧은 시간 안에 간편하게 착용·사용하는 편의성이다. 생리주기 정상화나 치료 효과를 약속하지 않으며, 지불 의사와 실제 사용 편의성을 우선 확인한다.</x:v>
      </x:c>
      <x:c r="L55" s="78"/>
      <x:c r="M55" s="78"/>
      <x:c r="N55" s="78"/>
      <x:c r="O55" s="78"/>
      <x:c r="P55" s="78"/>
      <x:c r="Q55" s="78"/>
    </x:row>
    <x:row r="56" ht="20" customHeight="1">
      <x:c r="A56" s="52"/>
      <x:c r="B56" s="52"/>
      <x:c r="C56" s="76"/>
      <x:c r="D56" s="76"/>
      <x:c r="E56" s="76"/>
      <x:c r="F56" s="76"/>
      <x:c r="G56" s="76"/>
      <x:c r="H56" s="76"/>
      <x:c r="I56" s="76"/>
      <x:c r="J56" s="52"/>
      <x:c r="K56" s="78"/>
      <x:c r="L56" s="78"/>
      <x:c r="M56" s="78"/>
      <x:c r="N56" s="78"/>
      <x:c r="O56" s="78"/>
      <x:c r="P56" s="78"/>
      <x:c r="Q56" s="78"/>
    </x:row>
    <x:row r="57" ht="20" customHeight="1">
      <x:c r="A57" s="52"/>
      <x:c r="B57" s="52"/>
      <x:c r="C57" s="76"/>
      <x:c r="D57" s="76"/>
      <x:c r="E57" s="76"/>
      <x:c r="F57" s="76"/>
      <x:c r="G57" s="76"/>
      <x:c r="H57" s="76"/>
      <x:c r="I57" s="76"/>
      <x:c r="J57" s="52"/>
      <x:c r="K57" s="78"/>
      <x:c r="L57" s="78"/>
      <x:c r="M57" s="78"/>
      <x:c r="N57" s="78"/>
      <x:c r="O57" s="78"/>
      <x:c r="P57" s="78"/>
      <x:c r="Q57" s="78"/>
    </x:row>
    <x:row r="58" ht="20" customHeight="1">
      <x:c r="A58" s="52"/>
      <x:c r="B58" s="52"/>
      <x:c r="C58" s="76"/>
      <x:c r="D58" s="76"/>
      <x:c r="E58" s="76"/>
      <x:c r="F58" s="76"/>
      <x:c r="G58" s="76"/>
      <x:c r="H58" s="76"/>
      <x:c r="I58" s="76"/>
      <x:c r="J58" s="52"/>
      <x:c r="K58" s="78"/>
      <x:c r="L58" s="78"/>
      <x:c r="M58" s="78"/>
      <x:c r="N58" s="78"/>
      <x:c r="O58" s="78"/>
      <x:c r="P58" s="78"/>
      <x:c r="Q58" s="78"/>
    </x:row>
    <x:row r="59" ht="20" customHeight="1">
      <x:c r="A59" s="52"/>
      <x:c r="B59" s="52"/>
      <x:c r="C59" s="76"/>
      <x:c r="D59" s="76"/>
      <x:c r="E59" s="76"/>
      <x:c r="F59" s="76"/>
      <x:c r="G59" s="76"/>
      <x:c r="H59" s="76"/>
      <x:c r="I59" s="76"/>
      <x:c r="J59" s="52"/>
      <x:c r="K59" s="78"/>
      <x:c r="L59" s="78"/>
      <x:c r="M59" s="78"/>
      <x:c r="N59" s="78"/>
      <x:c r="O59" s="78"/>
      <x:c r="P59" s="78"/>
      <x:c r="Q59" s="78"/>
    </x:row>
    <x:row r="60" ht="20" customHeight="1">
      <x:c r="A60" s="52"/>
      <x:c r="B60" s="52"/>
      <x:c r="C60" s="76"/>
      <x:c r="D60" s="76"/>
      <x:c r="E60" s="76"/>
      <x:c r="F60" s="76"/>
      <x:c r="G60" s="76"/>
      <x:c r="H60" s="76"/>
      <x:c r="I60" s="76"/>
      <x:c r="J60" s="52"/>
      <x:c r="K60" s="78"/>
      <x:c r="L60" s="78"/>
      <x:c r="M60" s="78"/>
      <x:c r="N60" s="78"/>
      <x:c r="O60" s="78"/>
      <x:c r="P60" s="78"/>
      <x:c r="Q60" s="78"/>
    </x:row>
    <x:row r="61" ht="20" customHeight="1">
      <x:c r="A61" s="52"/>
      <x:c r="B61" s="52"/>
      <x:c r="C61" s="76"/>
      <x:c r="D61" s="76"/>
      <x:c r="E61" s="76"/>
      <x:c r="F61" s="76"/>
      <x:c r="G61" s="76"/>
      <x:c r="H61" s="76"/>
      <x:c r="I61" s="76"/>
      <x:c r="J61" s="52"/>
      <x:c r="K61" s="78"/>
      <x:c r="L61" s="78"/>
      <x:c r="M61" s="78"/>
      <x:c r="N61" s="78"/>
      <x:c r="O61" s="78"/>
      <x:c r="P61" s="78"/>
      <x:c r="Q61" s="78"/>
    </x:row>
    <x:row r="62" ht="20" customHeight="1">
      <x:c r="A62" s="52"/>
      <x:c r="B62" s="52"/>
      <x:c r="C62" s="61" t="str">
        <x:v>차별화는 고객이 체감하고 비용을 지불하는 이유로 쓰세요. 임상 효능은 확인된 근거 범위에서만 표현하세요.</x:v>
      </x:c>
      <x:c r="D62" s="61"/>
      <x:c r="E62" s="61"/>
      <x:c r="F62" s="61"/>
      <x:c r="G62" s="61"/>
      <x:c r="H62" s="61"/>
      <x:c r="I62" s="61"/>
      <x:c r="J62" s="61"/>
      <x:c r="K62" s="61"/>
      <x:c r="L62" s="61"/>
      <x:c r="M62" s="61"/>
      <x:c r="N62" s="61"/>
      <x:c r="O62" s="61"/>
      <x:c r="P62" s="61"/>
      <x:c r="Q62" s="61"/>
    </x:row>
    <x:row r="63" ht="20" customHeight="1">
      <x:c r="A63" s="52"/>
      <x:c r="B63" s="52"/>
      <x:c r="C63" s="61"/>
      <x:c r="D63" s="61"/>
      <x:c r="E63" s="61"/>
      <x:c r="F63" s="61"/>
      <x:c r="G63" s="61"/>
      <x:c r="H63" s="61"/>
      <x:c r="I63" s="61"/>
      <x:c r="J63" s="61"/>
      <x:c r="K63" s="61"/>
      <x:c r="L63" s="61"/>
      <x:c r="M63" s="61"/>
      <x:c r="N63" s="61"/>
      <x:c r="O63" s="61"/>
      <x:c r="P63" s="61"/>
      <x:c r="Q63" s="61"/>
    </x:row>
    <x:row r="64" ht="20" customHeight="1">
      <x:c r="A64" s="52"/>
      <x:c r="B64" s="52"/>
      <x:c r="C64" s="52"/>
      <x:c r="D64" s="52"/>
      <x:c r="E64" s="52"/>
      <x:c r="F64" s="52"/>
      <x:c r="G64" s="52"/>
      <x:c r="H64" s="52"/>
      <x:c r="I64" s="52"/>
      <x:c r="J64" s="52"/>
      <x:c r="K64" s="52"/>
      <x:c r="L64" s="52"/>
      <x:c r="M64" s="52"/>
      <x:c r="N64" s="52"/>
      <x:c r="O64" s="52"/>
      <x:c r="P64" s="52"/>
      <x:c r="Q64" s="52"/>
    </x:row>
    <x:row r="65" ht="28" customHeight="1">
      <x:c r="A65" s="52"/>
      <x:c r="B65" s="52"/>
      <x:c r="C65" s="58" t="str">
        <x:v>04  해결책 (Solution)</x:v>
      </x:c>
      <x:c r="D65" s="58"/>
      <x:c r="E65" s="58"/>
      <x:c r="F65" s="58"/>
      <x:c r="G65" s="58"/>
      <x:c r="H65" s="58"/>
      <x:c r="I65" s="58"/>
      <x:c r="J65" s="58"/>
      <x:c r="K65" s="58"/>
      <x:c r="L65" s="58"/>
      <x:c r="M65" s="58"/>
      <x:c r="N65" s="58"/>
      <x:c r="O65" s="58"/>
      <x:c r="P65" s="58"/>
      <x:c r="Q65" s="58"/>
    </x:row>
    <x:row r="66" ht="20" customHeight="1">
      <x:c r="A66" s="52"/>
      <x:c r="B66" s="52"/>
      <x:c r="C66" s="73" t="str">
        <x:v>서술 초안 | 직접 수정</x:v>
      </x:c>
      <x:c r="D66" s="73"/>
      <x:c r="E66" s="73"/>
      <x:c r="F66" s="73"/>
      <x:c r="G66" s="73"/>
      <x:c r="H66" s="73"/>
      <x:c r="I66" s="73"/>
      <x:c r="J66" s="52"/>
      <x:c r="K66" s="75" t="str">
        <x:v>제출 문안 | 자동 연결 · 이 셀을 복사</x:v>
      </x:c>
      <x:c r="L66" s="75"/>
      <x:c r="M66" s="75"/>
      <x:c r="N66" s="75"/>
      <x:c r="O66" s="75"/>
      <x:c r="P66" s="75"/>
      <x:c r="Q66" s="75"/>
    </x:row>
    <x:row r="67" ht="20" customHeight="1">
      <x:c r="A67" s="52"/>
      <x:c r="B67" s="52"/>
      <x:c r="C67" s="76" t="str">
        <x:v>황토 반구형 교체 패치와 발목 착용형 온열·공기압 기기를 결합하는 제품을 구상한다. 원안의 SP6·KI6·KI3 위치를 참고한 부착 안내와 작동 제어를 시제품에서 검토한다. 온도·압박·사용 시간은 안전성 검증 후 확정하고, 패치 부착성·피부 반응·착용성·반복 사용성을 먼저 시험한다. 초기 검증 결과에 따라 기능과 제품 구성을 축소하거나 조정한다.</x:v>
      </x:c>
      <x:c r="D67" s="76"/>
      <x:c r="E67" s="76"/>
      <x:c r="F67" s="76"/>
      <x:c r="G67" s="76"/>
      <x:c r="H67" s="76"/>
      <x:c r="I67" s="76"/>
      <x:c r="J67" s="52"/>
      <x:c r="K67" s="78" t="str">
        <x:f>IF(LEN(C67)=0,"[작성 필요]",C67)</x:f>
        <x:v>황토 반구형 교체 패치와 발목 착용형 온열·공기압 기기를 결합하는 제품을 구상한다. 원안의 SP6·KI6·KI3 위치를 참고한 부착 안내와 작동 제어를 시제품에서 검토한다. 온도·압박·사용 시간은 안전성 검증 후 확정하고, 패치 부착성·피부 반응·착용성·반복 사용성을 먼저 시험한다. 초기 검증 결과에 따라 기능과 제품 구성을 축소하거나 조정한다.</x:v>
      </x:c>
      <x:c r="L67" s="78"/>
      <x:c r="M67" s="78"/>
      <x:c r="N67" s="78"/>
      <x:c r="O67" s="78"/>
      <x:c r="P67" s="78"/>
      <x:c r="Q67" s="78"/>
    </x:row>
    <x:row r="68" ht="20" customHeight="1">
      <x:c r="A68" s="52"/>
      <x:c r="B68" s="52"/>
      <x:c r="C68" s="76"/>
      <x:c r="D68" s="76"/>
      <x:c r="E68" s="76"/>
      <x:c r="F68" s="76"/>
      <x:c r="G68" s="76"/>
      <x:c r="H68" s="76"/>
      <x:c r="I68" s="76"/>
      <x:c r="J68" s="52"/>
      <x:c r="K68" s="78"/>
      <x:c r="L68" s="78"/>
      <x:c r="M68" s="78"/>
      <x:c r="N68" s="78"/>
      <x:c r="O68" s="78"/>
      <x:c r="P68" s="78"/>
      <x:c r="Q68" s="78"/>
    </x:row>
    <x:row r="69" ht="20" customHeight="1">
      <x:c r="A69" s="52"/>
      <x:c r="B69" s="52"/>
      <x:c r="C69" s="76"/>
      <x:c r="D69" s="76"/>
      <x:c r="E69" s="76"/>
      <x:c r="F69" s="76"/>
      <x:c r="G69" s="76"/>
      <x:c r="H69" s="76"/>
      <x:c r="I69" s="76"/>
      <x:c r="J69" s="52"/>
      <x:c r="K69" s="78"/>
      <x:c r="L69" s="78"/>
      <x:c r="M69" s="78"/>
      <x:c r="N69" s="78"/>
      <x:c r="O69" s="78"/>
      <x:c r="P69" s="78"/>
      <x:c r="Q69" s="78"/>
    </x:row>
    <x:row r="70" ht="20" customHeight="1">
      <x:c r="A70" s="52"/>
      <x:c r="B70" s="52"/>
      <x:c r="C70" s="76"/>
      <x:c r="D70" s="76"/>
      <x:c r="E70" s="76"/>
      <x:c r="F70" s="76"/>
      <x:c r="G70" s="76"/>
      <x:c r="H70" s="76"/>
      <x:c r="I70" s="76"/>
      <x:c r="J70" s="52"/>
      <x:c r="K70" s="78"/>
      <x:c r="L70" s="78"/>
      <x:c r="M70" s="78"/>
      <x:c r="N70" s="78"/>
      <x:c r="O70" s="78"/>
      <x:c r="P70" s="78"/>
      <x:c r="Q70" s="78"/>
    </x:row>
    <x:row r="71" ht="20" customHeight="1">
      <x:c r="A71" s="52"/>
      <x:c r="B71" s="52"/>
      <x:c r="C71" s="76"/>
      <x:c r="D71" s="76"/>
      <x:c r="E71" s="76"/>
      <x:c r="F71" s="76"/>
      <x:c r="G71" s="76"/>
      <x:c r="H71" s="76"/>
      <x:c r="I71" s="76"/>
      <x:c r="J71" s="52"/>
      <x:c r="K71" s="78"/>
      <x:c r="L71" s="78"/>
      <x:c r="M71" s="78"/>
      <x:c r="N71" s="78"/>
      <x:c r="O71" s="78"/>
      <x:c r="P71" s="78"/>
      <x:c r="Q71" s="78"/>
    </x:row>
    <x:row r="72" ht="20" customHeight="1">
      <x:c r="A72" s="52"/>
      <x:c r="B72" s="52"/>
      <x:c r="C72" s="76"/>
      <x:c r="D72" s="76"/>
      <x:c r="E72" s="76"/>
      <x:c r="F72" s="76"/>
      <x:c r="G72" s="76"/>
      <x:c r="H72" s="76"/>
      <x:c r="I72" s="76"/>
      <x:c r="J72" s="52"/>
      <x:c r="K72" s="78"/>
      <x:c r="L72" s="78"/>
      <x:c r="M72" s="78"/>
      <x:c r="N72" s="78"/>
      <x:c r="O72" s="78"/>
      <x:c r="P72" s="78"/>
      <x:c r="Q72" s="78"/>
    </x:row>
    <x:row r="73" ht="20" customHeight="1">
      <x:c r="A73" s="52"/>
      <x:c r="B73" s="52"/>
      <x:c r="C73" s="76"/>
      <x:c r="D73" s="76"/>
      <x:c r="E73" s="76"/>
      <x:c r="F73" s="76"/>
      <x:c r="G73" s="76"/>
      <x:c r="H73" s="76"/>
      <x:c r="I73" s="76"/>
      <x:c r="J73" s="52"/>
      <x:c r="K73" s="78"/>
      <x:c r="L73" s="78"/>
      <x:c r="M73" s="78"/>
      <x:c r="N73" s="78"/>
      <x:c r="O73" s="78"/>
      <x:c r="P73" s="78"/>
      <x:c r="Q73" s="78"/>
    </x:row>
    <x:row r="74" ht="20" customHeight="1">
      <x:c r="A74" s="52"/>
      <x:c r="B74" s="52"/>
      <x:c r="C74" s="76"/>
      <x:c r="D74" s="76"/>
      <x:c r="E74" s="76"/>
      <x:c r="F74" s="76"/>
      <x:c r="G74" s="76"/>
      <x:c r="H74" s="76"/>
      <x:c r="I74" s="76"/>
      <x:c r="J74" s="52"/>
      <x:c r="K74" s="78"/>
      <x:c r="L74" s="78"/>
      <x:c r="M74" s="78"/>
      <x:c r="N74" s="78"/>
      <x:c r="O74" s="78"/>
      <x:c r="P74" s="78"/>
      <x:c r="Q74" s="78"/>
    </x:row>
    <x:row r="75" ht="20" customHeight="1">
      <x:c r="A75" s="52"/>
      <x:c r="B75" s="52"/>
      <x:c r="C75" s="61" t="str">
        <x:v>제안 사양과 확정 사양을 구분하세요. 05_100일검증에서 시제품·사용성·제조 검증 예산을 확인할 수 있습니다.</x:v>
      </x:c>
      <x:c r="D75" s="61"/>
      <x:c r="E75" s="61"/>
      <x:c r="F75" s="61"/>
      <x:c r="G75" s="61"/>
      <x:c r="H75" s="61"/>
      <x:c r="I75" s="61"/>
      <x:c r="J75" s="61"/>
      <x:c r="K75" s="61"/>
      <x:c r="L75" s="61"/>
      <x:c r="M75" s="61"/>
      <x:c r="N75" s="61"/>
      <x:c r="O75" s="61"/>
      <x:c r="P75" s="61"/>
      <x:c r="Q75" s="61"/>
    </x:row>
    <x:row r="76" ht="20" customHeight="1">
      <x:c r="A76" s="52"/>
      <x:c r="B76" s="52"/>
      <x:c r="C76" s="61"/>
      <x:c r="D76" s="61"/>
      <x:c r="E76" s="61"/>
      <x:c r="F76" s="61"/>
      <x:c r="G76" s="61"/>
      <x:c r="H76" s="61"/>
      <x:c r="I76" s="61"/>
      <x:c r="J76" s="61"/>
      <x:c r="K76" s="61"/>
      <x:c r="L76" s="61"/>
      <x:c r="M76" s="61"/>
      <x:c r="N76" s="61"/>
      <x:c r="O76" s="61"/>
      <x:c r="P76" s="61"/>
      <x:c r="Q76" s="61"/>
    </x:row>
    <x:row r="77" ht="20" customHeight="1">
      <x:c r="A77" s="52"/>
      <x:c r="B77" s="52"/>
      <x:c r="C77" s="52"/>
      <x:c r="D77" s="52"/>
      <x:c r="E77" s="52"/>
      <x:c r="F77" s="52"/>
      <x:c r="G77" s="52"/>
      <x:c r="H77" s="52"/>
      <x:c r="I77" s="52"/>
      <x:c r="J77" s="52"/>
      <x:c r="K77" s="52"/>
      <x:c r="L77" s="52"/>
      <x:c r="M77" s="52"/>
      <x:c r="N77" s="52"/>
      <x:c r="O77" s="52"/>
      <x:c r="P77" s="52"/>
      <x:c r="Q77" s="52"/>
    </x:row>
    <x:row r="78" ht="28" customHeight="1">
      <x:c r="A78" s="52"/>
      <x:c r="B78" s="52"/>
      <x:c r="C78" s="58" t="str">
        <x:v>05  경쟁 우위 (Unfair Advantage)</x:v>
      </x:c>
      <x:c r="D78" s="58"/>
      <x:c r="E78" s="58"/>
      <x:c r="F78" s="58"/>
      <x:c r="G78" s="58"/>
      <x:c r="H78" s="58"/>
      <x:c r="I78" s="58"/>
      <x:c r="J78" s="58"/>
      <x:c r="K78" s="58"/>
      <x:c r="L78" s="58"/>
      <x:c r="M78" s="58"/>
      <x:c r="N78" s="58"/>
      <x:c r="O78" s="58"/>
      <x:c r="P78" s="58"/>
      <x:c r="Q78" s="58"/>
    </x:row>
    <x:row r="79" ht="20" customHeight="1">
      <x:c r="A79" s="52"/>
      <x:c r="B79" s="52"/>
      <x:c r="C79" s="73" t="str">
        <x:v>서술 초안 | 직접 수정</x:v>
      </x:c>
      <x:c r="D79" s="73"/>
      <x:c r="E79" s="73"/>
      <x:c r="F79" s="73"/>
      <x:c r="G79" s="73"/>
      <x:c r="H79" s="73"/>
      <x:c r="I79" s="73"/>
      <x:c r="J79" s="52"/>
      <x:c r="K79" s="75" t="str">
        <x:v>제출 문안 | 자동 연결 · 이 셀을 복사</x:v>
      </x:c>
      <x:c r="L79" s="75"/>
      <x:c r="M79" s="75"/>
      <x:c r="N79" s="75"/>
      <x:c r="O79" s="75"/>
      <x:c r="P79" s="75"/>
      <x:c r="Q79" s="75"/>
    </x:row>
    <x:row r="80" ht="20" customHeight="1">
      <x:c r="A80" s="52"/>
      <x:c r="B80" s="52"/>
      <x:c r="C80" s="76" t="str">
        <x:v>현재 확인된 독점 특허·임상 데이터·독점 유통계약은 없다. 초기에는 착용 위치 안내, 압박·온열 제어와 안전 설계, 반복 사용·고객 피드백 데이터를 축적해 모방하기 어려운 사용 경험과 품질 관리 체계를 만드는 것이 목표다. 유통사 접점은 협의 기회로 다루며, 계약 또는 접근 가능한 고객을 이미 확보한 것으로 표현하지 않는다.</x:v>
      </x:c>
      <x:c r="D80" s="76"/>
      <x:c r="E80" s="76"/>
      <x:c r="F80" s="76"/>
      <x:c r="G80" s="76"/>
      <x:c r="H80" s="76"/>
      <x:c r="I80" s="76"/>
      <x:c r="J80" s="52"/>
      <x:c r="K80" s="78" t="str">
        <x:f>IF(LEN(C80)=0,"[작성 필요]",C80)</x:f>
        <x:v>현재 확인된 독점 특허·임상 데이터·독점 유통계약은 없다. 초기에는 착용 위치 안내, 압박·온열 제어와 안전 설계, 반복 사용·고객 피드백 데이터를 축적해 모방하기 어려운 사용 경험과 품질 관리 체계를 만드는 것이 목표다. 유통사 접점은 협의 기회로 다루며, 계약 또는 접근 가능한 고객을 이미 확보한 것으로 표현하지 않는다.</x:v>
      </x:c>
      <x:c r="L80" s="78"/>
      <x:c r="M80" s="78"/>
      <x:c r="N80" s="78"/>
      <x:c r="O80" s="78"/>
      <x:c r="P80" s="78"/>
      <x:c r="Q80" s="78"/>
    </x:row>
    <x:row r="81" ht="20" customHeight="1">
      <x:c r="A81" s="52"/>
      <x:c r="B81" s="52"/>
      <x:c r="C81" s="76"/>
      <x:c r="D81" s="76"/>
      <x:c r="E81" s="76"/>
      <x:c r="F81" s="76"/>
      <x:c r="G81" s="76"/>
      <x:c r="H81" s="76"/>
      <x:c r="I81" s="76"/>
      <x:c r="J81" s="52"/>
      <x:c r="K81" s="78"/>
      <x:c r="L81" s="78"/>
      <x:c r="M81" s="78"/>
      <x:c r="N81" s="78"/>
      <x:c r="O81" s="78"/>
      <x:c r="P81" s="78"/>
      <x:c r="Q81" s="78"/>
    </x:row>
    <x:row r="82" ht="20" customHeight="1">
      <x:c r="A82" s="52"/>
      <x:c r="B82" s="52"/>
      <x:c r="C82" s="76"/>
      <x:c r="D82" s="76"/>
      <x:c r="E82" s="76"/>
      <x:c r="F82" s="76"/>
      <x:c r="G82" s="76"/>
      <x:c r="H82" s="76"/>
      <x:c r="I82" s="76"/>
      <x:c r="J82" s="52"/>
      <x:c r="K82" s="78"/>
      <x:c r="L82" s="78"/>
      <x:c r="M82" s="78"/>
      <x:c r="N82" s="78"/>
      <x:c r="O82" s="78"/>
      <x:c r="P82" s="78"/>
      <x:c r="Q82" s="78"/>
    </x:row>
    <x:row r="83" ht="20" customHeight="1">
      <x:c r="A83" s="52"/>
      <x:c r="B83" s="52"/>
      <x:c r="C83" s="76"/>
      <x:c r="D83" s="76"/>
      <x:c r="E83" s="76"/>
      <x:c r="F83" s="76"/>
      <x:c r="G83" s="76"/>
      <x:c r="H83" s="76"/>
      <x:c r="I83" s="76"/>
      <x:c r="J83" s="52"/>
      <x:c r="K83" s="78"/>
      <x:c r="L83" s="78"/>
      <x:c r="M83" s="78"/>
      <x:c r="N83" s="78"/>
      <x:c r="O83" s="78"/>
      <x:c r="P83" s="78"/>
      <x:c r="Q83" s="78"/>
    </x:row>
    <x:row r="84" ht="20" customHeight="1">
      <x:c r="A84" s="52"/>
      <x:c r="B84" s="52"/>
      <x:c r="C84" s="76"/>
      <x:c r="D84" s="76"/>
      <x:c r="E84" s="76"/>
      <x:c r="F84" s="76"/>
      <x:c r="G84" s="76"/>
      <x:c r="H84" s="76"/>
      <x:c r="I84" s="76"/>
      <x:c r="J84" s="52"/>
      <x:c r="K84" s="78"/>
      <x:c r="L84" s="78"/>
      <x:c r="M84" s="78"/>
      <x:c r="N84" s="78"/>
      <x:c r="O84" s="78"/>
      <x:c r="P84" s="78"/>
      <x:c r="Q84" s="78"/>
    </x:row>
    <x:row r="85" ht="20" customHeight="1">
      <x:c r="A85" s="52"/>
      <x:c r="B85" s="52"/>
      <x:c r="C85" s="76"/>
      <x:c r="D85" s="76"/>
      <x:c r="E85" s="76"/>
      <x:c r="F85" s="76"/>
      <x:c r="G85" s="76"/>
      <x:c r="H85" s="76"/>
      <x:c r="I85" s="76"/>
      <x:c r="J85" s="52"/>
      <x:c r="K85" s="78"/>
      <x:c r="L85" s="78"/>
      <x:c r="M85" s="78"/>
      <x:c r="N85" s="78"/>
      <x:c r="O85" s="78"/>
      <x:c r="P85" s="78"/>
      <x:c r="Q85" s="78"/>
    </x:row>
    <x:row r="86" ht="20" customHeight="1">
      <x:c r="A86" s="52"/>
      <x:c r="B86" s="52"/>
      <x:c r="C86" s="76"/>
      <x:c r="D86" s="76"/>
      <x:c r="E86" s="76"/>
      <x:c r="F86" s="76"/>
      <x:c r="G86" s="76"/>
      <x:c r="H86" s="76"/>
      <x:c r="I86" s="76"/>
      <x:c r="J86" s="52"/>
      <x:c r="K86" s="78"/>
      <x:c r="L86" s="78"/>
      <x:c r="M86" s="78"/>
      <x:c r="N86" s="78"/>
      <x:c r="O86" s="78"/>
      <x:c r="P86" s="78"/>
      <x:c r="Q86" s="78"/>
    </x:row>
    <x:row r="87" ht="20" customHeight="1">
      <x:c r="A87" s="52"/>
      <x:c r="B87" s="52"/>
      <x:c r="C87" s="61" t="str">
        <x:v>보유 우위와 구축 계획을 구분했습니다. 실제 특허·계약·시험 성적이 확보되면 노란색 칸에 반영하세요.</x:v>
      </x:c>
      <x:c r="D87" s="61"/>
      <x:c r="E87" s="61"/>
      <x:c r="F87" s="61"/>
      <x:c r="G87" s="61"/>
      <x:c r="H87" s="61"/>
      <x:c r="I87" s="61"/>
      <x:c r="J87" s="61"/>
      <x:c r="K87" s="61"/>
      <x:c r="L87" s="61"/>
      <x:c r="M87" s="61"/>
      <x:c r="N87" s="61"/>
      <x:c r="O87" s="61"/>
      <x:c r="P87" s="61"/>
      <x:c r="Q87" s="61"/>
    </x:row>
    <x:row r="88" ht="20" customHeight="1">
      <x:c r="A88" s="52"/>
      <x:c r="B88" s="52"/>
      <x:c r="C88" s="61"/>
      <x:c r="D88" s="61"/>
      <x:c r="E88" s="61"/>
      <x:c r="F88" s="61"/>
      <x:c r="G88" s="61"/>
      <x:c r="H88" s="61"/>
      <x:c r="I88" s="61"/>
      <x:c r="J88" s="61"/>
      <x:c r="K88" s="61"/>
      <x:c r="L88" s="61"/>
      <x:c r="M88" s="61"/>
      <x:c r="N88" s="61"/>
      <x:c r="O88" s="61"/>
      <x:c r="P88" s="61"/>
      <x:c r="Q88" s="61"/>
    </x:row>
    <x:row r="89" ht="20" customHeight="1">
      <x:c r="A89" s="52"/>
      <x:c r="B89" s="52"/>
      <x:c r="C89" s="52"/>
      <x:c r="D89" s="52"/>
      <x:c r="E89" s="52"/>
      <x:c r="F89" s="52"/>
      <x:c r="G89" s="52"/>
      <x:c r="H89" s="52"/>
      <x:c r="I89" s="52"/>
      <x:c r="J89" s="52"/>
      <x:c r="K89" s="52"/>
      <x:c r="L89" s="52"/>
      <x:c r="M89" s="52"/>
      <x:c r="N89" s="52"/>
      <x:c r="O89" s="52"/>
      <x:c r="P89" s="52"/>
      <x:c r="Q89" s="52"/>
    </x:row>
    <x:row r="90" ht="28" customHeight="1">
      <x:c r="A90" s="52"/>
      <x:c r="B90" s="52"/>
      <x:c r="C90" s="58" t="str">
        <x:v>06  수익 창출 방안 (Revenue Streams)</x:v>
      </x:c>
      <x:c r="D90" s="58"/>
      <x:c r="E90" s="58"/>
      <x:c r="F90" s="58"/>
      <x:c r="G90" s="58"/>
      <x:c r="H90" s="58"/>
      <x:c r="I90" s="58"/>
      <x:c r="J90" s="58"/>
      <x:c r="K90" s="58"/>
      <x:c r="L90" s="58"/>
      <x:c r="M90" s="58"/>
      <x:c r="N90" s="58"/>
      <x:c r="O90" s="58"/>
      <x:c r="P90" s="58"/>
      <x:c r="Q90" s="58"/>
    </x:row>
    <x:row r="91" ht="20" customHeight="1">
      <x:c r="A91" s="52"/>
      <x:c r="B91" s="52"/>
      <x:c r="C91" s="73" t="str">
        <x:v>서술 초안 | 직접 수정</x:v>
      </x:c>
      <x:c r="D91" s="73"/>
      <x:c r="E91" s="73"/>
      <x:c r="F91" s="73"/>
      <x:c r="G91" s="73"/>
      <x:c r="H91" s="73"/>
      <x:c r="I91" s="73"/>
      <x:c r="J91" s="52"/>
      <x:c r="K91" s="75" t="str">
        <x:v>제출 문안 | 자동 연결 · 이 셀을 복사</x:v>
      </x:c>
      <x:c r="L91" s="75"/>
      <x:c r="M91" s="75"/>
      <x:c r="N91" s="75"/>
      <x:c r="O91" s="75"/>
      <x:c r="P91" s="75"/>
      <x:c r="Q91" s="75"/>
    </x:row>
    <x:row r="92" ht="20" customHeight="1">
      <x:c r="A92" s="52"/>
      <x:c r="B92" s="52"/>
      <x:c r="C92" s="76" t="str">
        <x:v>본체 판매와 교체 패치의 반복 구매를 수익원으로 설계한다. 초기에는 자사 온라인 판매를 우선하고, 패치 반복 구매는 별도 가정으로 검증한다. 아래 매출은 실적이나 확정 수주가 아닌 시뮬레이션이다.</x:v>
      </x:c>
      <x:c r="D92" s="76"/>
      <x:c r="E92" s="76"/>
      <x:c r="F92" s="76"/>
      <x:c r="G92" s="76"/>
      <x:c r="H92" s="76"/>
      <x:c r="I92" s="76"/>
      <x:c r="J92" s="52"/>
      <x:c r="K92" s="80" t="str">
        <x:f>IF(LEN(C92)=0,"[작성 필요]",C92)&amp;" 선택 시나리오: "&amp;'01_가정'!H4&amp;". 1년차 본체 가격 "&amp;TEXT('01_가정'!F10,"#,##0")&amp;"원, 리필 가격 "&amp;TEXT('01_가정'!F70,"#,##0")&amp;"원. 1~3년차 본체 출고 "&amp;TEXT('03_월별손익'!F19,"#,##0")&amp;" / "&amp;TEXT('03_월별손익'!G19,"#,##0")&amp;" / "&amp;TEXT('03_월별손익'!H19,"#,##0")&amp;"개, 순매출 "&amp;TEXT('03_월별손익'!F33/1000000,"#,##0.0")&amp;" / "&amp;TEXT('03_월별손익'!G33/1000000,"#,##0.0")&amp;" / "&amp;TEXT('03_월별손익'!H33/1000000,"#,##0.0")&amp;"백만원을 예상한다. 순매출은 VAT 제외·환불 차감 기준이다."</x:f>
        <x:v>본체 판매와 교체 패치의 반복 구매를 수익원으로 설계한다. 초기에는 자사 온라인 판매를 우선하고, 패치 반복 구매는 별도 가정으로 검증한다. 아래 매출은 실적이나 확정 수주가 아닌 시뮬레이션이다. 선택 시나리오: 기준. 1년차 본체 가격 149,000원, 리필 가격 12,900원. 1~3년차 본체 출고 418 / 3,780 / 8,820개, 순매출 54.2 / 533.1 / 1,328.3백만원을 예상한다. 순매출은 VAT 제외·환불 차감 기준이다.</x:v>
      </x:c>
      <x:c r="L92" s="80"/>
      <x:c r="M92" s="80"/>
      <x:c r="N92" s="80"/>
      <x:c r="O92" s="80"/>
      <x:c r="P92" s="80"/>
      <x:c r="Q92" s="80"/>
    </x:row>
    <x:row r="93" ht="20" customHeight="1">
      <x:c r="A93" s="52"/>
      <x:c r="B93" s="52"/>
      <x:c r="C93" s="76"/>
      <x:c r="D93" s="76"/>
      <x:c r="E93" s="76"/>
      <x:c r="F93" s="76"/>
      <x:c r="G93" s="76"/>
      <x:c r="H93" s="76"/>
      <x:c r="I93" s="76"/>
      <x:c r="J93" s="52"/>
      <x:c r="K93" s="80"/>
      <x:c r="L93" s="80"/>
      <x:c r="M93" s="80"/>
      <x:c r="N93" s="80"/>
      <x:c r="O93" s="80"/>
      <x:c r="P93" s="80"/>
      <x:c r="Q93" s="80"/>
    </x:row>
    <x:row r="94" ht="20" customHeight="1">
      <x:c r="A94" s="52"/>
      <x:c r="B94" s="52"/>
      <x:c r="C94" s="76"/>
      <x:c r="D94" s="76"/>
      <x:c r="E94" s="76"/>
      <x:c r="F94" s="76"/>
      <x:c r="G94" s="76"/>
      <x:c r="H94" s="76"/>
      <x:c r="I94" s="76"/>
      <x:c r="J94" s="52"/>
      <x:c r="K94" s="80"/>
      <x:c r="L94" s="80"/>
      <x:c r="M94" s="80"/>
      <x:c r="N94" s="80"/>
      <x:c r="O94" s="80"/>
      <x:c r="P94" s="80"/>
      <x:c r="Q94" s="80"/>
    </x:row>
    <x:row r="95" ht="20" customHeight="1">
      <x:c r="A95" s="52"/>
      <x:c r="B95" s="52"/>
      <x:c r="C95" s="76"/>
      <x:c r="D95" s="76"/>
      <x:c r="E95" s="76"/>
      <x:c r="F95" s="76"/>
      <x:c r="G95" s="76"/>
      <x:c r="H95" s="76"/>
      <x:c r="I95" s="76"/>
      <x:c r="J95" s="52"/>
      <x:c r="K95" s="80"/>
      <x:c r="L95" s="80"/>
      <x:c r="M95" s="80"/>
      <x:c r="N95" s="80"/>
      <x:c r="O95" s="80"/>
      <x:c r="P95" s="80"/>
      <x:c r="Q95" s="80"/>
    </x:row>
    <x:row r="96" ht="20" customHeight="1">
      <x:c r="A96" s="52"/>
      <x:c r="B96" s="52"/>
      <x:c r="C96" s="76"/>
      <x:c r="D96" s="76"/>
      <x:c r="E96" s="76"/>
      <x:c r="F96" s="76"/>
      <x:c r="G96" s="76"/>
      <x:c r="H96" s="76"/>
      <x:c r="I96" s="76"/>
      <x:c r="J96" s="52"/>
      <x:c r="K96" s="80"/>
      <x:c r="L96" s="80"/>
      <x:c r="M96" s="80"/>
      <x:c r="N96" s="80"/>
      <x:c r="O96" s="80"/>
      <x:c r="P96" s="80"/>
      <x:c r="Q96" s="80"/>
    </x:row>
    <x:row r="97" ht="20" customHeight="1">
      <x:c r="A97" s="52"/>
      <x:c r="B97" s="52"/>
      <x:c r="C97" s="76"/>
      <x:c r="D97" s="76"/>
      <x:c r="E97" s="76"/>
      <x:c r="F97" s="76"/>
      <x:c r="G97" s="76"/>
      <x:c r="H97" s="76"/>
      <x:c r="I97" s="76"/>
      <x:c r="J97" s="52"/>
      <x:c r="K97" s="80"/>
      <x:c r="L97" s="80"/>
      <x:c r="M97" s="80"/>
      <x:c r="N97" s="80"/>
      <x:c r="O97" s="80"/>
      <x:c r="P97" s="80"/>
      <x:c r="Q97" s="80"/>
    </x:row>
    <x:row r="98" ht="20" customHeight="1">
      <x:c r="A98" s="52"/>
      <x:c r="B98" s="52"/>
      <x:c r="C98" s="76"/>
      <x:c r="D98" s="76"/>
      <x:c r="E98" s="76"/>
      <x:c r="F98" s="76"/>
      <x:c r="G98" s="76"/>
      <x:c r="H98" s="76"/>
      <x:c r="I98" s="76"/>
      <x:c r="J98" s="52"/>
      <x:c r="K98" s="80"/>
      <x:c r="L98" s="80"/>
      <x:c r="M98" s="80"/>
      <x:c r="N98" s="80"/>
      <x:c r="O98" s="80"/>
      <x:c r="P98" s="80"/>
      <x:c r="Q98" s="80"/>
    </x:row>
    <x:row r="99" ht="20" customHeight="1">
      <x:c r="A99" s="52"/>
      <x:c r="B99" s="52"/>
      <x:c r="C99" s="76"/>
      <x:c r="D99" s="76"/>
      <x:c r="E99" s="76"/>
      <x:c r="F99" s="76"/>
      <x:c r="G99" s="76"/>
      <x:c r="H99" s="76"/>
      <x:c r="I99" s="76"/>
      <x:c r="J99" s="52"/>
      <x:c r="K99" s="80"/>
      <x:c r="L99" s="80"/>
      <x:c r="M99" s="80"/>
      <x:c r="N99" s="80"/>
      <x:c r="O99" s="80"/>
      <x:c r="P99" s="80"/>
      <x:c r="Q99" s="80"/>
    </x:row>
    <x:row r="100" ht="20" customHeight="1">
      <x:c r="A100" s="52"/>
      <x:c r="B100" s="52"/>
      <x:c r="C100" s="76"/>
      <x:c r="D100" s="76"/>
      <x:c r="E100" s="76"/>
      <x:c r="F100" s="76"/>
      <x:c r="G100" s="76"/>
      <x:c r="H100" s="76"/>
      <x:c r="I100" s="76"/>
      <x:c r="J100" s="52"/>
      <x:c r="K100" s="80"/>
      <x:c r="L100" s="80"/>
      <x:c r="M100" s="80"/>
      <x:c r="N100" s="80"/>
      <x:c r="O100" s="80"/>
      <x:c r="P100" s="80"/>
      <x:c r="Q100" s="80"/>
    </x:row>
    <x:row r="101" ht="20" customHeight="1">
      <x:c r="A101" s="52"/>
      <x:c r="B101" s="52"/>
      <x:c r="C101" s="76"/>
      <x:c r="D101" s="76"/>
      <x:c r="E101" s="76"/>
      <x:c r="F101" s="76"/>
      <x:c r="G101" s="76"/>
      <x:c r="H101" s="76"/>
      <x:c r="I101" s="76"/>
      <x:c r="J101" s="52"/>
      <x:c r="K101" s="80"/>
      <x:c r="L101" s="80"/>
      <x:c r="M101" s="80"/>
      <x:c r="N101" s="80"/>
      <x:c r="O101" s="80"/>
      <x:c r="P101" s="80"/>
      <x:c r="Q101" s="80"/>
    </x:row>
    <x:row r="102" ht="20" customHeight="1">
      <x:c r="A102" s="52"/>
      <x:c r="B102" s="52"/>
      <x:c r="C102" s="76"/>
      <x:c r="D102" s="76"/>
      <x:c r="E102" s="76"/>
      <x:c r="F102" s="76"/>
      <x:c r="G102" s="76"/>
      <x:c r="H102" s="76"/>
      <x:c r="I102" s="76"/>
      <x:c r="J102" s="52"/>
      <x:c r="K102" s="80"/>
      <x:c r="L102" s="80"/>
      <x:c r="M102" s="80"/>
      <x:c r="N102" s="80"/>
      <x:c r="O102" s="80"/>
      <x:c r="P102" s="80"/>
      <x:c r="Q102" s="80"/>
    </x:row>
    <x:row r="103" ht="20" customHeight="1">
      <x:c r="A103" s="52"/>
      <x:c r="B103" s="52"/>
      <x:c r="C103" s="61" t="str">
        <x:v>가격·판매량·패치: 01_가정 → 03_월별손익. 매출은 VAT 제외·환불 차감 기준, 가격은 소비자 결제가격입니다.</x:v>
      </x:c>
      <x:c r="D103" s="61"/>
      <x:c r="E103" s="61"/>
      <x:c r="F103" s="61"/>
      <x:c r="G103" s="61"/>
      <x:c r="H103" s="61"/>
      <x:c r="I103" s="61"/>
      <x:c r="J103" s="61"/>
      <x:c r="K103" s="61"/>
      <x:c r="L103" s="61"/>
      <x:c r="M103" s="61"/>
      <x:c r="N103" s="61"/>
      <x:c r="O103" s="61"/>
      <x:c r="P103" s="61"/>
      <x:c r="Q103" s="61"/>
    </x:row>
    <x:row r="104" ht="20" customHeight="1">
      <x:c r="A104" s="52"/>
      <x:c r="B104" s="52"/>
      <x:c r="C104" s="61"/>
      <x:c r="D104" s="61"/>
      <x:c r="E104" s="61"/>
      <x:c r="F104" s="61"/>
      <x:c r="G104" s="61"/>
      <x:c r="H104" s="61"/>
      <x:c r="I104" s="61"/>
      <x:c r="J104" s="61"/>
      <x:c r="K104" s="61"/>
      <x:c r="L104" s="61"/>
      <x:c r="M104" s="61"/>
      <x:c r="N104" s="61"/>
      <x:c r="O104" s="61"/>
      <x:c r="P104" s="61"/>
      <x:c r="Q104" s="61"/>
    </x:row>
    <x:row r="105" ht="20" customHeight="1">
      <x:c r="A105" s="52"/>
      <x:c r="B105" s="52"/>
      <x:c r="C105" s="52"/>
      <x:c r="D105" s="52"/>
      <x:c r="E105" s="52"/>
      <x:c r="F105" s="52"/>
      <x:c r="G105" s="52"/>
      <x:c r="H105" s="52"/>
      <x:c r="I105" s="52"/>
      <x:c r="J105" s="52"/>
      <x:c r="K105" s="52"/>
      <x:c r="L105" s="52"/>
      <x:c r="M105" s="52"/>
      <x:c r="N105" s="52"/>
      <x:c r="O105" s="52"/>
      <x:c r="P105" s="52"/>
      <x:c r="Q105" s="52"/>
    </x:row>
    <x:row r="106" ht="28" customHeight="1">
      <x:c r="A106" s="52"/>
      <x:c r="B106" s="52"/>
      <x:c r="C106" s="58" t="str">
        <x:v>07  비용 구조 (Cost Structure)</x:v>
      </x:c>
      <x:c r="D106" s="58"/>
      <x:c r="E106" s="58"/>
      <x:c r="F106" s="58"/>
      <x:c r="G106" s="58"/>
      <x:c r="H106" s="58"/>
      <x:c r="I106" s="58"/>
      <x:c r="J106" s="58"/>
      <x:c r="K106" s="58"/>
      <x:c r="L106" s="58"/>
      <x:c r="M106" s="58"/>
      <x:c r="N106" s="58"/>
      <x:c r="O106" s="58"/>
      <x:c r="P106" s="58"/>
      <x:c r="Q106" s="58"/>
    </x:row>
    <x:row r="107" ht="20" customHeight="1">
      <x:c r="A107" s="52"/>
      <x:c r="B107" s="52"/>
      <x:c r="C107" s="73" t="str">
        <x:v>서술 초안 | 직접 수정</x:v>
      </x:c>
      <x:c r="D107" s="73"/>
      <x:c r="E107" s="73"/>
      <x:c r="F107" s="73"/>
      <x:c r="G107" s="73"/>
      <x:c r="H107" s="73"/>
      <x:c r="I107" s="73"/>
      <x:c r="J107" s="52"/>
      <x:c r="K107" s="75" t="str">
        <x:v>제출 문안 | 자동 연결 · 이 셀을 복사</x:v>
      </x:c>
      <x:c r="L107" s="75"/>
      <x:c r="M107" s="75"/>
      <x:c r="N107" s="75"/>
      <x:c r="O107" s="75"/>
      <x:c r="P107" s="75"/>
      <x:c r="Q107" s="75"/>
    </x:row>
    <x:row r="108" ht="20" customHeight="1">
      <x:c r="A108" s="52"/>
      <x:c r="B108" s="52"/>
      <x:c r="C108" s="76" t="str">
        <x:v>주요 비용은 본체·패치 제조원가, 배송·결제·반품·보증, 광고비, 인건비, 고정운영비, 시제품·연구개발 및 감가상각이다. 금형·설비 투자와 재고 선발주는 손익 비용과 집행 시점이 달라 현금흐름을 별도로 관리한다.</x:v>
      </x:c>
      <x:c r="D108" s="76"/>
      <x:c r="E108" s="76"/>
      <x:c r="F108" s="76"/>
      <x:c r="G108" s="76"/>
      <x:c r="H108" s="76"/>
      <x:c r="I108" s="76"/>
      <x:c r="J108" s="52"/>
      <x:c r="K108" s="80" t="str">
        <x:f>IF(LEN(C108)=0,"[작성 필요]",C108)&amp;" 선택 시나리오의 1~3년차 손익상 총비용은 "&amp;TEXT(G18,"#,##0.0")&amp;" / "&amp;TEXT(K18,"#,##0.0")&amp;" / "&amp;TEXT(N18,"#,##0.0")&amp;"백만원, 영업이익은 "&amp;TEXT(G19,"#,##0.0")&amp;" / "&amp;TEXT(K19,"#,##0.0")&amp;" / "&amp;TEXT(N19,"#,##0.0")&amp;"백만원이다. 1년차 인건비 "&amp;TEXT('03_월별손익'!F49/1000000,"#,##0.0")&amp;"백만원, 금형·설비 현금지출 "&amp;TEXT('04_재고현금'!F32/1000000,"#,##0.0")&amp;"백만원을 반영한다. 초기 투자금 "&amp;TEXT('01_가정'!F105/1000000,"#,##0.0")&amp;"백만원 유입 후, 36개월 최소현금 "&amp;TEXT('01_가정'!F106/1000000,"#,##0.0")&amp;"백만원을 유지하기 위한 최대 추가자금 필요액은 "&amp;TEXT('00_투자판단'!F23/1000000,"#,##0.0")&amp;"백만원이다. 회사의 인건비 현금 부담률은 "&amp;TEXT('01_가정'!F107,"0%")&amp;"이며 지원을 반영해도 손익 인건비는 유지한다."</x:f>
        <x:v>주요 비용은 본체·패치 제조원가, 배송·결제·반품·보증, 광고비, 인건비, 고정운영비, 시제품·연구개발 및 감가상각이다. 금형·설비 투자와 재고 선발주는 손익 비용과 집행 시점이 달라 현금흐름을 별도로 관리한다. 선택 시나리오의 1~3년차 손익상 총비용은 286.4 / 572.3 / 1,087.7백만원, 영업이익은 -232.2 / -39.2 / 240.6백만원이다. 1년차 인건비 162.0백만원, 금형·설비 현금지출 27.5백만원을 반영한다. 초기 투자금 300.0백만원 유입 후, 36개월 최소현금 30.0백만원을 유지하기 위한 최대 추가자금 필요액은 94.6백만원이다. 회사의 인건비 현금 부담률은 0%이며 지원을 반영해도 손익 인건비는 유지한다.</x:v>
      </x:c>
      <x:c r="L108" s="80"/>
      <x:c r="M108" s="80"/>
      <x:c r="N108" s="80"/>
      <x:c r="O108" s="80"/>
      <x:c r="P108" s="80"/>
      <x:c r="Q108" s="80"/>
    </x:row>
    <x:row r="109" ht="20" customHeight="1">
      <x:c r="A109" s="52"/>
      <x:c r="B109" s="52"/>
      <x:c r="C109" s="76"/>
      <x:c r="D109" s="76"/>
      <x:c r="E109" s="76"/>
      <x:c r="F109" s="76"/>
      <x:c r="G109" s="76"/>
      <x:c r="H109" s="76"/>
      <x:c r="I109" s="76"/>
      <x:c r="J109" s="52"/>
      <x:c r="K109" s="80"/>
      <x:c r="L109" s="80"/>
      <x:c r="M109" s="80"/>
      <x:c r="N109" s="80"/>
      <x:c r="O109" s="80"/>
      <x:c r="P109" s="80"/>
      <x:c r="Q109" s="80"/>
    </x:row>
    <x:row r="110" ht="20" customHeight="1">
      <x:c r="A110" s="52"/>
      <x:c r="B110" s="52"/>
      <x:c r="C110" s="76"/>
      <x:c r="D110" s="76"/>
      <x:c r="E110" s="76"/>
      <x:c r="F110" s="76"/>
      <x:c r="G110" s="76"/>
      <x:c r="H110" s="76"/>
      <x:c r="I110" s="76"/>
      <x:c r="J110" s="52"/>
      <x:c r="K110" s="80"/>
      <x:c r="L110" s="80"/>
      <x:c r="M110" s="80"/>
      <x:c r="N110" s="80"/>
      <x:c r="O110" s="80"/>
      <x:c r="P110" s="80"/>
      <x:c r="Q110" s="80"/>
    </x:row>
    <x:row r="111" ht="20" customHeight="1">
      <x:c r="A111" s="52"/>
      <x:c r="B111" s="52"/>
      <x:c r="C111" s="76"/>
      <x:c r="D111" s="76"/>
      <x:c r="E111" s="76"/>
      <x:c r="F111" s="76"/>
      <x:c r="G111" s="76"/>
      <x:c r="H111" s="76"/>
      <x:c r="I111" s="76"/>
      <x:c r="J111" s="52"/>
      <x:c r="K111" s="80"/>
      <x:c r="L111" s="80"/>
      <x:c r="M111" s="80"/>
      <x:c r="N111" s="80"/>
      <x:c r="O111" s="80"/>
      <x:c r="P111" s="80"/>
      <x:c r="Q111" s="80"/>
    </x:row>
    <x:row r="112" ht="20" customHeight="1">
      <x:c r="A112" s="52"/>
      <x:c r="B112" s="52"/>
      <x:c r="C112" s="76"/>
      <x:c r="D112" s="76"/>
      <x:c r="E112" s="76"/>
      <x:c r="F112" s="76"/>
      <x:c r="G112" s="76"/>
      <x:c r="H112" s="76"/>
      <x:c r="I112" s="76"/>
      <x:c r="J112" s="52"/>
      <x:c r="K112" s="80"/>
      <x:c r="L112" s="80"/>
      <x:c r="M112" s="80"/>
      <x:c r="N112" s="80"/>
      <x:c r="O112" s="80"/>
      <x:c r="P112" s="80"/>
      <x:c r="Q112" s="80"/>
    </x:row>
    <x:row r="113" ht="20" customHeight="1">
      <x:c r="A113" s="52"/>
      <x:c r="B113" s="52"/>
      <x:c r="C113" s="76"/>
      <x:c r="D113" s="76"/>
      <x:c r="E113" s="76"/>
      <x:c r="F113" s="76"/>
      <x:c r="G113" s="76"/>
      <x:c r="H113" s="76"/>
      <x:c r="I113" s="76"/>
      <x:c r="J113" s="52"/>
      <x:c r="K113" s="80"/>
      <x:c r="L113" s="80"/>
      <x:c r="M113" s="80"/>
      <x:c r="N113" s="80"/>
      <x:c r="O113" s="80"/>
      <x:c r="P113" s="80"/>
      <x:c r="Q113" s="80"/>
    </x:row>
    <x:row r="114" ht="20" customHeight="1">
      <x:c r="A114" s="52"/>
      <x:c r="B114" s="52"/>
      <x:c r="C114" s="76"/>
      <x:c r="D114" s="76"/>
      <x:c r="E114" s="76"/>
      <x:c r="F114" s="76"/>
      <x:c r="G114" s="76"/>
      <x:c r="H114" s="76"/>
      <x:c r="I114" s="76"/>
      <x:c r="J114" s="52"/>
      <x:c r="K114" s="80"/>
      <x:c r="L114" s="80"/>
      <x:c r="M114" s="80"/>
      <x:c r="N114" s="80"/>
      <x:c r="O114" s="80"/>
      <x:c r="P114" s="80"/>
      <x:c r="Q114" s="80"/>
    </x:row>
    <x:row r="115" ht="20" customHeight="1">
      <x:c r="A115" s="52"/>
      <x:c r="B115" s="52"/>
      <x:c r="C115" s="76"/>
      <x:c r="D115" s="76"/>
      <x:c r="E115" s="76"/>
      <x:c r="F115" s="76"/>
      <x:c r="G115" s="76"/>
      <x:c r="H115" s="76"/>
      <x:c r="I115" s="76"/>
      <x:c r="J115" s="52"/>
      <x:c r="K115" s="80"/>
      <x:c r="L115" s="80"/>
      <x:c r="M115" s="80"/>
      <x:c r="N115" s="80"/>
      <x:c r="O115" s="80"/>
      <x:c r="P115" s="80"/>
      <x:c r="Q115" s="80"/>
    </x:row>
    <x:row r="116" ht="20" customHeight="1">
      <x:c r="A116" s="52"/>
      <x:c r="B116" s="52"/>
      <x:c r="C116" s="76"/>
      <x:c r="D116" s="76"/>
      <x:c r="E116" s="76"/>
      <x:c r="F116" s="76"/>
      <x:c r="G116" s="76"/>
      <x:c r="H116" s="76"/>
      <x:c r="I116" s="76"/>
      <x:c r="J116" s="52"/>
      <x:c r="K116" s="80"/>
      <x:c r="L116" s="80"/>
      <x:c r="M116" s="80"/>
      <x:c r="N116" s="80"/>
      <x:c r="O116" s="80"/>
      <x:c r="P116" s="80"/>
      <x:c r="Q116" s="80"/>
    </x:row>
    <x:row r="117" ht="20" customHeight="1">
      <x:c r="A117" s="52"/>
      <x:c r="B117" s="52"/>
      <x:c r="C117" s="76"/>
      <x:c r="D117" s="76"/>
      <x:c r="E117" s="76"/>
      <x:c r="F117" s="76"/>
      <x:c r="G117" s="76"/>
      <x:c r="H117" s="76"/>
      <x:c r="I117" s="76"/>
      <x:c r="J117" s="52"/>
      <x:c r="K117" s="80"/>
      <x:c r="L117" s="80"/>
      <x:c r="M117" s="80"/>
      <x:c r="N117" s="80"/>
      <x:c r="O117" s="80"/>
      <x:c r="P117" s="80"/>
      <x:c r="Q117" s="80"/>
    </x:row>
    <x:row r="118" ht="20" customHeight="1">
      <x:c r="A118" s="52"/>
      <x:c r="B118" s="52"/>
      <x:c r="C118" s="76"/>
      <x:c r="D118" s="76"/>
      <x:c r="E118" s="76"/>
      <x:c r="F118" s="76"/>
      <x:c r="G118" s="76"/>
      <x:c r="H118" s="76"/>
      <x:c r="I118" s="76"/>
      <x:c r="J118" s="52"/>
      <x:c r="K118" s="80"/>
      <x:c r="L118" s="80"/>
      <x:c r="M118" s="80"/>
      <x:c r="N118" s="80"/>
      <x:c r="O118" s="80"/>
      <x:c r="P118" s="80"/>
      <x:c r="Q118" s="80"/>
    </x:row>
    <x:row r="119" ht="20" customHeight="1">
      <x:c r="A119" s="52"/>
      <x:c r="B119" s="52"/>
      <x:c r="C119" s="76"/>
      <x:c r="D119" s="76"/>
      <x:c r="E119" s="76"/>
      <x:c r="F119" s="76"/>
      <x:c r="G119" s="76"/>
      <x:c r="H119" s="76"/>
      <x:c r="I119" s="76"/>
      <x:c r="J119" s="52"/>
      <x:c r="K119" s="80"/>
      <x:c r="L119" s="80"/>
      <x:c r="M119" s="80"/>
      <x:c r="N119" s="80"/>
      <x:c r="O119" s="80"/>
      <x:c r="P119" s="80"/>
      <x:c r="Q119" s="80"/>
    </x:row>
    <x:row r="120" ht="20" customHeight="1">
      <x:c r="A120" s="52"/>
      <x:c r="B120" s="52"/>
      <x:c r="C120" s="76"/>
      <x:c r="D120" s="76"/>
      <x:c r="E120" s="76"/>
      <x:c r="F120" s="76"/>
      <x:c r="G120" s="76"/>
      <x:c r="H120" s="76"/>
      <x:c r="I120" s="76"/>
      <x:c r="J120" s="52"/>
      <x:c r="K120" s="80"/>
      <x:c r="L120" s="80"/>
      <x:c r="M120" s="80"/>
      <x:c r="N120" s="80"/>
      <x:c r="O120" s="80"/>
      <x:c r="P120" s="80"/>
      <x:c r="Q120" s="80"/>
    </x:row>
    <x:row r="121" ht="20" customHeight="1">
      <x:c r="A121" s="52"/>
      <x:c r="B121" s="52"/>
      <x:c r="C121" s="76"/>
      <x:c r="D121" s="76"/>
      <x:c r="E121" s="76"/>
      <x:c r="F121" s="76"/>
      <x:c r="G121" s="76"/>
      <x:c r="H121" s="76"/>
      <x:c r="I121" s="76"/>
      <x:c r="J121" s="52"/>
      <x:c r="K121" s="80"/>
      <x:c r="L121" s="80"/>
      <x:c r="M121" s="80"/>
      <x:c r="N121" s="80"/>
      <x:c r="O121" s="80"/>
      <x:c r="P121" s="80"/>
      <x:c r="Q121" s="80"/>
    </x:row>
    <x:row r="122" ht="20" customHeight="1">
      <x:c r="A122" s="52"/>
      <x:c r="B122" s="52"/>
      <x:c r="C122" s="61" t="str">
        <x:v>총비용 = 순매출 − 영업이익. 금형·설비는 현금지출과 감가상각을 구분합니다. 회사 인건비 지원은 01_가정!F107에서 현금에만 반영합니다.</x:v>
      </x:c>
      <x:c r="D122" s="61"/>
      <x:c r="E122" s="61"/>
      <x:c r="F122" s="61"/>
      <x:c r="G122" s="61"/>
      <x:c r="H122" s="61"/>
      <x:c r="I122" s="61"/>
      <x:c r="J122" s="61"/>
      <x:c r="K122" s="61"/>
      <x:c r="L122" s="61"/>
      <x:c r="M122" s="61"/>
      <x:c r="N122" s="61"/>
      <x:c r="O122" s="61"/>
      <x:c r="P122" s="61"/>
      <x:c r="Q122" s="61"/>
    </x:row>
    <x:row r="123" ht="20" customHeight="1">
      <x:c r="A123" s="52"/>
      <x:c r="B123" s="52"/>
      <x:c r="C123" s="61"/>
      <x:c r="D123" s="61"/>
      <x:c r="E123" s="61"/>
      <x:c r="F123" s="61"/>
      <x:c r="G123" s="61"/>
      <x:c r="H123" s="61"/>
      <x:c r="I123" s="61"/>
      <x:c r="J123" s="61"/>
      <x:c r="K123" s="61"/>
      <x:c r="L123" s="61"/>
      <x:c r="M123" s="61"/>
      <x:c r="N123" s="61"/>
      <x:c r="O123" s="61"/>
      <x:c r="P123" s="61"/>
      <x:c r="Q123" s="61"/>
    </x:row>
    <x:row r="124" ht="20" customHeight="1">
      <x:c r="A124" s="52"/>
      <x:c r="B124" s="52"/>
      <x:c r="C124" s="52"/>
      <x:c r="D124" s="52"/>
      <x:c r="E124" s="52"/>
      <x:c r="F124" s="52"/>
      <x:c r="G124" s="52"/>
      <x:c r="H124" s="52"/>
      <x:c r="I124" s="52"/>
      <x:c r="J124" s="52"/>
      <x:c r="K124" s="52"/>
      <x:c r="L124" s="52"/>
      <x:c r="M124" s="52"/>
      <x:c r="N124" s="52"/>
      <x:c r="O124" s="52"/>
      <x:c r="P124" s="52"/>
      <x:c r="Q124" s="52"/>
    </x:row>
    <x:row r="125" ht="28" customHeight="1">
      <x:c r="A125" s="52"/>
      <x:c r="B125" s="52"/>
      <x:c r="C125" s="58" t="str">
        <x:v>08  채널 (Channels)</x:v>
      </x:c>
      <x:c r="D125" s="58"/>
      <x:c r="E125" s="58"/>
      <x:c r="F125" s="58"/>
      <x:c r="G125" s="58"/>
      <x:c r="H125" s="58"/>
      <x:c r="I125" s="58"/>
      <x:c r="J125" s="58"/>
      <x:c r="K125" s="58"/>
      <x:c r="L125" s="58"/>
      <x:c r="M125" s="58"/>
      <x:c r="N125" s="58"/>
      <x:c r="O125" s="58"/>
      <x:c r="P125" s="58"/>
      <x:c r="Q125" s="58"/>
    </x:row>
    <x:row r="126" ht="20" customHeight="1">
      <x:c r="A126" s="52"/>
      <x:c r="B126" s="52"/>
      <x:c r="C126" s="73" t="str">
        <x:v>서술 초안 | 직접 수정</x:v>
      </x:c>
      <x:c r="D126" s="73"/>
      <x:c r="E126" s="73"/>
      <x:c r="F126" s="73"/>
      <x:c r="G126" s="73"/>
      <x:c r="H126" s="73"/>
      <x:c r="I126" s="73"/>
      <x:c r="J126" s="52"/>
      <x:c r="K126" s="75" t="str">
        <x:v>제출 문안 | 자동 연결 · 이 셀을 복사</x:v>
      </x:c>
      <x:c r="L126" s="75"/>
      <x:c r="M126" s="75"/>
      <x:c r="N126" s="75"/>
      <x:c r="O126" s="75"/>
      <x:c r="P126" s="75"/>
      <x:c r="Q126" s="75"/>
    </x:row>
    <x:row r="127" ht="20" customHeight="1">
      <x:c r="A127" s="52"/>
      <x:c r="B127" s="52"/>
      <x:c r="C127" s="76" t="str">
        <x:v>초기에는 고객 인터뷰 참여자와 자사 온라인 채널을 통해 사용성과 지불 의사를 검증하고, 콘텐츠·검색·소셜 광고에서 구매 전환을 측정한다. 이후 검증된 수익성과 제조·공급 안정성을 바탕으로 전문 유통 및 리테일 협의를 진행한다. Wcare 등 접점은 협의 후보이며 입점·물량 확정으로 간주하지 않는다.</x:v>
      </x:c>
      <x:c r="D127" s="76"/>
      <x:c r="E127" s="76"/>
      <x:c r="F127" s="76"/>
      <x:c r="G127" s="76"/>
      <x:c r="H127" s="76"/>
      <x:c r="I127" s="76"/>
      <x:c r="J127" s="52"/>
      <x:c r="K127" s="80" t="str">
        <x:f>IF(LEN(C127)=0,"[작성 필요]",C127)&amp;IF('01_가정'!F95=0," 현재 재무 시나리오는 리테일 매출을 제외하고 DTC를 반영한다."," 현재 재무 시나리오는 DTC와 리테일 물량 가정을 반영하며, 실제 계약 여부는 별도 확인한다.")</x:f>
        <x:v>초기에는 고객 인터뷰 참여자와 자사 온라인 채널을 통해 사용성과 지불 의사를 검증하고, 콘텐츠·검색·소셜 광고에서 구매 전환을 측정한다. 이후 검증된 수익성과 제조·공급 안정성을 바탕으로 전문 유통 및 리테일 협의를 진행한다. Wcare 등 접점은 협의 후보이며 입점·물량 확정으로 간주하지 않는다. 현재 재무 시나리오는 리테일 매출을 제외하고 DTC를 반영한다.</x:v>
      </x:c>
      <x:c r="L127" s="80"/>
      <x:c r="M127" s="80"/>
      <x:c r="N127" s="80"/>
      <x:c r="O127" s="80"/>
      <x:c r="P127" s="80"/>
      <x:c r="Q127" s="80"/>
    </x:row>
    <x:row r="128" ht="20" customHeight="1">
      <x:c r="A128" s="52"/>
      <x:c r="B128" s="52"/>
      <x:c r="C128" s="76"/>
      <x:c r="D128" s="76"/>
      <x:c r="E128" s="76"/>
      <x:c r="F128" s="76"/>
      <x:c r="G128" s="76"/>
      <x:c r="H128" s="76"/>
      <x:c r="I128" s="76"/>
      <x:c r="J128" s="52"/>
      <x:c r="K128" s="80"/>
      <x:c r="L128" s="80"/>
      <x:c r="M128" s="80"/>
      <x:c r="N128" s="80"/>
      <x:c r="O128" s="80"/>
      <x:c r="P128" s="80"/>
      <x:c r="Q128" s="80"/>
    </x:row>
    <x:row r="129" ht="20" customHeight="1">
      <x:c r="A129" s="52"/>
      <x:c r="B129" s="52"/>
      <x:c r="C129" s="76"/>
      <x:c r="D129" s="76"/>
      <x:c r="E129" s="76"/>
      <x:c r="F129" s="76"/>
      <x:c r="G129" s="76"/>
      <x:c r="H129" s="76"/>
      <x:c r="I129" s="76"/>
      <x:c r="J129" s="52"/>
      <x:c r="K129" s="80"/>
      <x:c r="L129" s="80"/>
      <x:c r="M129" s="80"/>
      <x:c r="N129" s="80"/>
      <x:c r="O129" s="80"/>
      <x:c r="P129" s="80"/>
      <x:c r="Q129" s="80"/>
    </x:row>
    <x:row r="130" ht="20" customHeight="1">
      <x:c r="A130" s="52"/>
      <x:c r="B130" s="52"/>
      <x:c r="C130" s="76"/>
      <x:c r="D130" s="76"/>
      <x:c r="E130" s="76"/>
      <x:c r="F130" s="76"/>
      <x:c r="G130" s="76"/>
      <x:c r="H130" s="76"/>
      <x:c r="I130" s="76"/>
      <x:c r="J130" s="52"/>
      <x:c r="K130" s="80"/>
      <x:c r="L130" s="80"/>
      <x:c r="M130" s="80"/>
      <x:c r="N130" s="80"/>
      <x:c r="O130" s="80"/>
      <x:c r="P130" s="80"/>
      <x:c r="Q130" s="80"/>
    </x:row>
    <x:row r="131" ht="20" customHeight="1">
      <x:c r="A131" s="52"/>
      <x:c r="B131" s="52"/>
      <x:c r="C131" s="76"/>
      <x:c r="D131" s="76"/>
      <x:c r="E131" s="76"/>
      <x:c r="F131" s="76"/>
      <x:c r="G131" s="76"/>
      <x:c r="H131" s="76"/>
      <x:c r="I131" s="76"/>
      <x:c r="J131" s="52"/>
      <x:c r="K131" s="80"/>
      <x:c r="L131" s="80"/>
      <x:c r="M131" s="80"/>
      <x:c r="N131" s="80"/>
      <x:c r="O131" s="80"/>
      <x:c r="P131" s="80"/>
      <x:c r="Q131" s="80"/>
    </x:row>
    <x:row r="132" ht="20" customHeight="1">
      <x:c r="A132" s="52"/>
      <x:c r="B132" s="52"/>
      <x:c r="C132" s="76"/>
      <x:c r="D132" s="76"/>
      <x:c r="E132" s="76"/>
      <x:c r="F132" s="76"/>
      <x:c r="G132" s="76"/>
      <x:c r="H132" s="76"/>
      <x:c r="I132" s="76"/>
      <x:c r="J132" s="52"/>
      <x:c r="K132" s="80"/>
      <x:c r="L132" s="80"/>
      <x:c r="M132" s="80"/>
      <x:c r="N132" s="80"/>
      <x:c r="O132" s="80"/>
      <x:c r="P132" s="80"/>
      <x:c r="Q132" s="80"/>
    </x:row>
    <x:row r="133" ht="20" customHeight="1">
      <x:c r="A133" s="52"/>
      <x:c r="B133" s="52"/>
      <x:c r="C133" s="76"/>
      <x:c r="D133" s="76"/>
      <x:c r="E133" s="76"/>
      <x:c r="F133" s="76"/>
      <x:c r="G133" s="76"/>
      <x:c r="H133" s="76"/>
      <x:c r="I133" s="76"/>
      <x:c r="J133" s="52"/>
      <x:c r="K133" s="80"/>
      <x:c r="L133" s="80"/>
      <x:c r="M133" s="80"/>
      <x:c r="N133" s="80"/>
      <x:c r="O133" s="80"/>
      <x:c r="P133" s="80"/>
      <x:c r="Q133" s="80"/>
    </x:row>
    <x:row r="134" ht="20" customHeight="1">
      <x:c r="A134" s="52"/>
      <x:c r="B134" s="52"/>
      <x:c r="C134" s="76"/>
      <x:c r="D134" s="76"/>
      <x:c r="E134" s="76"/>
      <x:c r="F134" s="76"/>
      <x:c r="G134" s="76"/>
      <x:c r="H134" s="76"/>
      <x:c r="I134" s="76"/>
      <x:c r="J134" s="52"/>
      <x:c r="K134" s="80"/>
      <x:c r="L134" s="80"/>
      <x:c r="M134" s="80"/>
      <x:c r="N134" s="80"/>
      <x:c r="O134" s="80"/>
      <x:c r="P134" s="80"/>
      <x:c r="Q134" s="80"/>
    </x:row>
    <x:row r="135" ht="20" customHeight="1">
      <x:c r="A135" s="52"/>
      <x:c r="B135" s="52"/>
      <x:c r="C135" s="61" t="str">
        <x:v>01_가정!F95는 모델의 리테일 반영 스위치입니다. 1로 바꿔도 실제 계약을 의미하지 않습니다.</x:v>
      </x:c>
      <x:c r="D135" s="61"/>
      <x:c r="E135" s="61"/>
      <x:c r="F135" s="61"/>
      <x:c r="G135" s="61"/>
      <x:c r="H135" s="61"/>
      <x:c r="I135" s="61"/>
      <x:c r="J135" s="61"/>
      <x:c r="K135" s="61"/>
      <x:c r="L135" s="61"/>
      <x:c r="M135" s="61"/>
      <x:c r="N135" s="61"/>
      <x:c r="O135" s="61"/>
      <x:c r="P135" s="61"/>
      <x:c r="Q135" s="61"/>
    </x:row>
    <x:row r="136" ht="20" customHeight="1">
      <x:c r="A136" s="52"/>
      <x:c r="B136" s="52"/>
      <x:c r="C136" s="61"/>
      <x:c r="D136" s="61"/>
      <x:c r="E136" s="61"/>
      <x:c r="F136" s="61"/>
      <x:c r="G136" s="61"/>
      <x:c r="H136" s="61"/>
      <x:c r="I136" s="61"/>
      <x:c r="J136" s="61"/>
      <x:c r="K136" s="61"/>
      <x:c r="L136" s="61"/>
      <x:c r="M136" s="61"/>
      <x:c r="N136" s="61"/>
      <x:c r="O136" s="61"/>
      <x:c r="P136" s="61"/>
      <x:c r="Q136" s="61"/>
    </x:row>
    <x:row r="137" ht="20" customHeight="1">
      <x:c r="A137" s="52"/>
      <x:c r="B137" s="52"/>
      <x:c r="C137" s="52"/>
      <x:c r="D137" s="52"/>
      <x:c r="E137" s="52"/>
      <x:c r="F137" s="52"/>
      <x:c r="G137" s="52"/>
      <x:c r="H137" s="52"/>
      <x:c r="I137" s="52"/>
      <x:c r="J137" s="52"/>
      <x:c r="K137" s="52"/>
      <x:c r="L137" s="52"/>
      <x:c r="M137" s="52"/>
      <x:c r="N137" s="52"/>
      <x:c r="O137" s="52"/>
      <x:c r="P137" s="52"/>
      <x:c r="Q137" s="52"/>
    </x:row>
    <x:row r="138" ht="28" customHeight="1">
      <x:c r="A138" s="52"/>
      <x:c r="B138" s="52"/>
      <x:c r="C138" s="58" t="str">
        <x:v>09  핵심 지표 (Key Metrics)</x:v>
      </x:c>
      <x:c r="D138" s="58"/>
      <x:c r="E138" s="58"/>
      <x:c r="F138" s="58"/>
      <x:c r="G138" s="58"/>
      <x:c r="H138" s="58"/>
      <x:c r="I138" s="58"/>
      <x:c r="J138" s="58"/>
      <x:c r="K138" s="58"/>
      <x:c r="L138" s="58"/>
      <x:c r="M138" s="58"/>
      <x:c r="N138" s="58"/>
      <x:c r="O138" s="58"/>
      <x:c r="P138" s="58"/>
      <x:c r="Q138" s="58"/>
    </x:row>
    <x:row r="139" ht="20" customHeight="1">
      <x:c r="A139" s="52"/>
      <x:c r="B139" s="52"/>
      <x:c r="C139" s="73" t="str">
        <x:v>서술 초안 | 직접 수정</x:v>
      </x:c>
      <x:c r="D139" s="73"/>
      <x:c r="E139" s="73"/>
      <x:c r="F139" s="73"/>
      <x:c r="G139" s="73"/>
      <x:c r="H139" s="73"/>
      <x:c r="I139" s="73"/>
      <x:c r="J139" s="52"/>
      <x:c r="K139" s="75" t="str">
        <x:v>제출 문안 | 자동 연결 · 이 셀을 복사</x:v>
      </x:c>
      <x:c r="L139" s="75"/>
      <x:c r="M139" s="75"/>
      <x:c r="N139" s="75"/>
      <x:c r="O139" s="75"/>
      <x:c r="P139" s="75"/>
      <x:c r="Q139" s="75"/>
    </x:row>
    <x:row r="140" ht="20" customHeight="1">
      <x:c r="A140" s="52"/>
      <x:c r="B140" s="52"/>
      <x:c r="C140" s="76" t="str">
        <x:v>100일 동안 고객 인터뷰, 독립 착용 가능 여부, 가격별 유료 전환, 제조 견적·안전성 자료를 확인한다. 출시 후에는 본체 출고, 환불률, 광고 고객획득비용(CAC), 광고 후 본체 공헌이익(CM2), 패치 첫 구매 참여율·잔존율, 월말 현금을 함께 관리한다. 예약·의향과 실제 결제·출고는 구분한다.</x:v>
      </x:c>
      <x:c r="D140" s="76"/>
      <x:c r="E140" s="76"/>
      <x:c r="F140" s="76"/>
      <x:c r="G140" s="76"/>
      <x:c r="H140" s="76"/>
      <x:c r="I140" s="76"/>
      <x:c r="J140" s="52"/>
      <x:c r="K140" s="80" t="str">
        <x:f>IF(LEN(C140)=0,"[작성 필요]",C140)&amp;" 현재 1년차 가정: 본체 출고 "&amp;TEXT('03_월별손익'!F19,"#,##0")&amp;"개, CAC "&amp;TEXT('02_단위경제'!F19,"#,##0")&amp;"원, CM2 "&amp;TEXT('02_단위경제'!F20,"#,##0")&amp;"원/개이다. CM2 목표 "&amp;TEXT('01_가정'!F115,"#,##0")&amp;"원 달성을 위한 허용 CAC는 "&amp;TEXT('02_단위경제'!F23,"#,##0")&amp;"원이다. 환불률 "&amp;TEXT('01_가정'!F26,"0.0%")&amp;", 패치 첫 구매 참여율 "&amp;TEXT('01_가정'!F30,"0.0%")&amp;", 월 잔존율 "&amp;TEXT('01_가정'!F34,"0.0%")&amp;"를 가정한다. 100일 검증 계획 예산은 "&amp;TEXT('05_100일검증'!F19/1000000,"#,##0.0")&amp;"백만원이며 검증 완료·달성을 의미하지 않는다."</x:f>
        <x:v>100일 동안 고객 인터뷰, 독립 착용 가능 여부, 가격별 유료 전환, 제조 견적·안전성 자료를 확인한다. 출시 후에는 본체 출고, 환불률, 광고 고객획득비용(CAC), 광고 후 본체 공헌이익(CM2), 패치 첫 구매 참여율·잔존율, 월말 현금을 함께 관리한다. 예약·의향과 실제 결제·출고는 구분한다. 현재 1년차 가정: 본체 출고 418개, CAC 36,000원, CM2 21,526원/개이다. CM2 목표 20,000원 달성을 위한 허용 CAC는 37,526원이다. 환불률 8.0%, 패치 첫 구매 참여율 25.0%, 월 잔존율 90.0%를 가정한다. 100일 검증 계획 예산은 10.0백만원이며 검증 완료·달성을 의미하지 않는다.</x:v>
      </x:c>
      <x:c r="L140" s="80"/>
      <x:c r="M140" s="80"/>
      <x:c r="N140" s="80"/>
      <x:c r="O140" s="80"/>
      <x:c r="P140" s="80"/>
      <x:c r="Q140" s="80"/>
    </x:row>
    <x:row r="141" ht="20" customHeight="1">
      <x:c r="A141" s="52"/>
      <x:c r="B141" s="52"/>
      <x:c r="C141" s="76"/>
      <x:c r="D141" s="76"/>
      <x:c r="E141" s="76"/>
      <x:c r="F141" s="76"/>
      <x:c r="G141" s="76"/>
      <x:c r="H141" s="76"/>
      <x:c r="I141" s="76"/>
      <x:c r="J141" s="52"/>
      <x:c r="K141" s="80"/>
      <x:c r="L141" s="80"/>
      <x:c r="M141" s="80"/>
      <x:c r="N141" s="80"/>
      <x:c r="O141" s="80"/>
      <x:c r="P141" s="80"/>
      <x:c r="Q141" s="80"/>
    </x:row>
    <x:row r="142" ht="20" customHeight="1">
      <x:c r="A142" s="52"/>
      <x:c r="B142" s="52"/>
      <x:c r="C142" s="76"/>
      <x:c r="D142" s="76"/>
      <x:c r="E142" s="76"/>
      <x:c r="F142" s="76"/>
      <x:c r="G142" s="76"/>
      <x:c r="H142" s="76"/>
      <x:c r="I142" s="76"/>
      <x:c r="J142" s="52"/>
      <x:c r="K142" s="80"/>
      <x:c r="L142" s="80"/>
      <x:c r="M142" s="80"/>
      <x:c r="N142" s="80"/>
      <x:c r="O142" s="80"/>
      <x:c r="P142" s="80"/>
      <x:c r="Q142" s="80"/>
    </x:row>
    <x:row r="143" ht="20" customHeight="1">
      <x:c r="A143" s="52"/>
      <x:c r="B143" s="52"/>
      <x:c r="C143" s="76"/>
      <x:c r="D143" s="76"/>
      <x:c r="E143" s="76"/>
      <x:c r="F143" s="76"/>
      <x:c r="G143" s="76"/>
      <x:c r="H143" s="76"/>
      <x:c r="I143" s="76"/>
      <x:c r="J143" s="52"/>
      <x:c r="K143" s="80"/>
      <x:c r="L143" s="80"/>
      <x:c r="M143" s="80"/>
      <x:c r="N143" s="80"/>
      <x:c r="O143" s="80"/>
      <x:c r="P143" s="80"/>
      <x:c r="Q143" s="80"/>
    </x:row>
    <x:row r="144" ht="20" customHeight="1">
      <x:c r="A144" s="52"/>
      <x:c r="B144" s="52"/>
      <x:c r="C144" s="76"/>
      <x:c r="D144" s="76"/>
      <x:c r="E144" s="76"/>
      <x:c r="F144" s="76"/>
      <x:c r="G144" s="76"/>
      <x:c r="H144" s="76"/>
      <x:c r="I144" s="76"/>
      <x:c r="J144" s="52"/>
      <x:c r="K144" s="80"/>
      <x:c r="L144" s="80"/>
      <x:c r="M144" s="80"/>
      <x:c r="N144" s="80"/>
      <x:c r="O144" s="80"/>
      <x:c r="P144" s="80"/>
      <x:c r="Q144" s="80"/>
    </x:row>
    <x:row r="145" ht="20" customHeight="1">
      <x:c r="A145" s="52"/>
      <x:c r="B145" s="52"/>
      <x:c r="C145" s="76"/>
      <x:c r="D145" s="76"/>
      <x:c r="E145" s="76"/>
      <x:c r="F145" s="76"/>
      <x:c r="G145" s="76"/>
      <x:c r="H145" s="76"/>
      <x:c r="I145" s="76"/>
      <x:c r="J145" s="52"/>
      <x:c r="K145" s="80"/>
      <x:c r="L145" s="80"/>
      <x:c r="M145" s="80"/>
      <x:c r="N145" s="80"/>
      <x:c r="O145" s="80"/>
      <x:c r="P145" s="80"/>
      <x:c r="Q145" s="80"/>
    </x:row>
    <x:row r="146" ht="20" customHeight="1">
      <x:c r="A146" s="52"/>
      <x:c r="B146" s="52"/>
      <x:c r="C146" s="76"/>
      <x:c r="D146" s="76"/>
      <x:c r="E146" s="76"/>
      <x:c r="F146" s="76"/>
      <x:c r="G146" s="76"/>
      <x:c r="H146" s="76"/>
      <x:c r="I146" s="76"/>
      <x:c r="J146" s="52"/>
      <x:c r="K146" s="80"/>
      <x:c r="L146" s="80"/>
      <x:c r="M146" s="80"/>
      <x:c r="N146" s="80"/>
      <x:c r="O146" s="80"/>
      <x:c r="P146" s="80"/>
      <x:c r="Q146" s="80"/>
    </x:row>
    <x:row r="147" ht="20" customHeight="1">
      <x:c r="A147" s="52"/>
      <x:c r="B147" s="52"/>
      <x:c r="C147" s="76"/>
      <x:c r="D147" s="76"/>
      <x:c r="E147" s="76"/>
      <x:c r="F147" s="76"/>
      <x:c r="G147" s="76"/>
      <x:c r="H147" s="76"/>
      <x:c r="I147" s="76"/>
      <x:c r="J147" s="52"/>
      <x:c r="K147" s="80"/>
      <x:c r="L147" s="80"/>
      <x:c r="M147" s="80"/>
      <x:c r="N147" s="80"/>
      <x:c r="O147" s="80"/>
      <x:c r="P147" s="80"/>
      <x:c r="Q147" s="80"/>
    </x:row>
    <x:row r="148" ht="20" customHeight="1">
      <x:c r="A148" s="52"/>
      <x:c r="B148" s="52"/>
      <x:c r="C148" s="76"/>
      <x:c r="D148" s="76"/>
      <x:c r="E148" s="76"/>
      <x:c r="F148" s="76"/>
      <x:c r="G148" s="76"/>
      <x:c r="H148" s="76"/>
      <x:c r="I148" s="76"/>
      <x:c r="J148" s="52"/>
      <x:c r="K148" s="80"/>
      <x:c r="L148" s="80"/>
      <x:c r="M148" s="80"/>
      <x:c r="N148" s="80"/>
      <x:c r="O148" s="80"/>
      <x:c r="P148" s="80"/>
      <x:c r="Q148" s="80"/>
    </x:row>
    <x:row r="149" ht="20" customHeight="1">
      <x:c r="A149" s="52"/>
      <x:c r="B149" s="52"/>
      <x:c r="C149" s="76"/>
      <x:c r="D149" s="76"/>
      <x:c r="E149" s="76"/>
      <x:c r="F149" s="76"/>
      <x:c r="G149" s="76"/>
      <x:c r="H149" s="76"/>
      <x:c r="I149" s="76"/>
      <x:c r="J149" s="52"/>
      <x:c r="K149" s="80"/>
      <x:c r="L149" s="80"/>
      <x:c r="M149" s="80"/>
      <x:c r="N149" s="80"/>
      <x:c r="O149" s="80"/>
      <x:c r="P149" s="80"/>
      <x:c r="Q149" s="80"/>
    </x:row>
    <x:row r="150" ht="20" customHeight="1">
      <x:c r="A150" s="52"/>
      <x:c r="B150" s="52"/>
      <x:c r="C150" s="76"/>
      <x:c r="D150" s="76"/>
      <x:c r="E150" s="76"/>
      <x:c r="F150" s="76"/>
      <x:c r="G150" s="76"/>
      <x:c r="H150" s="76"/>
      <x:c r="I150" s="76"/>
      <x:c r="J150" s="52"/>
      <x:c r="K150" s="80"/>
      <x:c r="L150" s="80"/>
      <x:c r="M150" s="80"/>
      <x:c r="N150" s="80"/>
      <x:c r="O150" s="80"/>
      <x:c r="P150" s="80"/>
      <x:c r="Q150" s="80"/>
    </x:row>
    <x:row r="151" ht="20" customHeight="1">
      <x:c r="A151" s="52"/>
      <x:c r="B151" s="52"/>
      <x:c r="C151" s="76"/>
      <x:c r="D151" s="76"/>
      <x:c r="E151" s="76"/>
      <x:c r="F151" s="76"/>
      <x:c r="G151" s="76"/>
      <x:c r="H151" s="76"/>
      <x:c r="I151" s="76"/>
      <x:c r="J151" s="52"/>
      <x:c r="K151" s="80"/>
      <x:c r="L151" s="80"/>
      <x:c r="M151" s="80"/>
      <x:c r="N151" s="80"/>
      <x:c r="O151" s="80"/>
      <x:c r="P151" s="80"/>
      <x:c r="Q151" s="80"/>
    </x:row>
    <x:row r="152" ht="20" customHeight="1">
      <x:c r="A152" s="52"/>
      <x:c r="B152" s="52"/>
      <x:c r="C152" s="76"/>
      <x:c r="D152" s="76"/>
      <x:c r="E152" s="76"/>
      <x:c r="F152" s="76"/>
      <x:c r="G152" s="76"/>
      <x:c r="H152" s="76"/>
      <x:c r="I152" s="76"/>
      <x:c r="J152" s="52"/>
      <x:c r="K152" s="80"/>
      <x:c r="L152" s="80"/>
      <x:c r="M152" s="80"/>
      <x:c r="N152" s="80"/>
      <x:c r="O152" s="80"/>
      <x:c r="P152" s="80"/>
      <x:c r="Q152" s="80"/>
    </x:row>
    <x:row r="153" ht="20" customHeight="1">
      <x:c r="A153" s="52"/>
      <x:c r="B153" s="52"/>
      <x:c r="C153" s="61" t="str">
        <x:v>자동 수치는 목표·가정입니다. 실측은 08_실측입력에 기록하고 목표를 달성한 것으로 미리 표시하지 마세요.</x:v>
      </x:c>
      <x:c r="D153" s="61"/>
      <x:c r="E153" s="61"/>
      <x:c r="F153" s="61"/>
      <x:c r="G153" s="61"/>
      <x:c r="H153" s="61"/>
      <x:c r="I153" s="61"/>
      <x:c r="J153" s="61"/>
      <x:c r="K153" s="61"/>
      <x:c r="L153" s="61"/>
      <x:c r="M153" s="61"/>
      <x:c r="N153" s="61"/>
      <x:c r="O153" s="61"/>
      <x:c r="P153" s="61"/>
      <x:c r="Q153" s="61"/>
    </x:row>
    <x:row r="154" ht="20" customHeight="1">
      <x:c r="A154" s="52"/>
      <x:c r="B154" s="52"/>
      <x:c r="C154" s="61"/>
      <x:c r="D154" s="61"/>
      <x:c r="E154" s="61"/>
      <x:c r="F154" s="61"/>
      <x:c r="G154" s="61"/>
      <x:c r="H154" s="61"/>
      <x:c r="I154" s="61"/>
      <x:c r="J154" s="61"/>
      <x:c r="K154" s="61"/>
      <x:c r="L154" s="61"/>
      <x:c r="M154" s="61"/>
      <x:c r="N154" s="61"/>
      <x:c r="O154" s="61"/>
      <x:c r="P154" s="61"/>
      <x:c r="Q154" s="61"/>
    </x:row>
    <x:row r="155" ht="20" customHeight="1">
      <x:c r="A155" s="52"/>
      <x:c r="B155" s="52"/>
      <x:c r="C155" s="52"/>
      <x:c r="D155" s="52"/>
      <x:c r="E155" s="52"/>
      <x:c r="F155" s="52"/>
      <x:c r="G155" s="52"/>
      <x:c r="H155" s="52"/>
      <x:c r="I155" s="52"/>
      <x:c r="J155" s="52"/>
      <x:c r="K155" s="52"/>
      <x:c r="L155" s="52"/>
      <x:c r="M155" s="52"/>
      <x:c r="N155" s="52"/>
      <x:c r="O155" s="52"/>
      <x:c r="P155" s="52"/>
      <x:c r="Q155" s="52"/>
    </x:row>
    <x:row r="156" ht="28" customHeight="1">
      <x:c r="A156" s="52"/>
      <x:c r="B156" s="52"/>
      <x:c r="C156" s="58" t="str">
        <x:v>별첨 1  핵심 컨셉</x:v>
      </x:c>
      <x:c r="D156" s="58"/>
      <x:c r="E156" s="58"/>
      <x:c r="F156" s="58"/>
      <x:c r="G156" s="58"/>
      <x:c r="H156" s="58"/>
      <x:c r="I156" s="58"/>
      <x:c r="J156" s="58"/>
      <x:c r="K156" s="58"/>
      <x:c r="L156" s="58"/>
      <x:c r="M156" s="58"/>
      <x:c r="N156" s="58"/>
      <x:c r="O156" s="58"/>
      <x:c r="P156" s="58"/>
      <x:c r="Q156" s="58"/>
    </x:row>
    <x:row r="157" ht="20" customHeight="1">
      <x:c r="A157" s="52"/>
      <x:c r="B157" s="52"/>
      <x:c r="C157" s="73" t="str">
        <x:v>서술 초안 | 직접 수정</x:v>
      </x:c>
      <x:c r="D157" s="73"/>
      <x:c r="E157" s="73"/>
      <x:c r="F157" s="73"/>
      <x:c r="G157" s="73"/>
      <x:c r="H157" s="73"/>
      <x:c r="I157" s="73"/>
      <x:c r="J157" s="52"/>
      <x:c r="K157" s="75" t="str">
        <x:v>제출 문안 | 자동 연결 · 이 셀을 복사</x:v>
      </x:c>
      <x:c r="L157" s="75"/>
      <x:c r="M157" s="75"/>
      <x:c r="N157" s="75"/>
      <x:c r="O157" s="75"/>
      <x:c r="P157" s="75"/>
      <x:c r="Q157" s="75"/>
    </x:row>
    <x:row r="158" ht="20" customHeight="1">
      <x:c r="A158" s="52"/>
      <x:c r="B158" s="52"/>
      <x:c r="C158" s="76" t="str">
        <x:v>손으로 계속 누르는 번거로움을 줄이기 위해, 교체형 패치와 온열·공기압을 결합한 발목 착용형 셀프케어 제품 및 패치 반복 구매 모델.</x:v>
      </x:c>
      <x:c r="D158" s="76"/>
      <x:c r="E158" s="76"/>
      <x:c r="F158" s="76"/>
      <x:c r="G158" s="76"/>
      <x:c r="H158" s="76"/>
      <x:c r="I158" s="76"/>
      <x:c r="J158" s="52"/>
      <x:c r="K158" s="78" t="str">
        <x:f>IF(LEN(C158)=0,"[작성 필요]",C158)</x:f>
        <x:v>손으로 계속 누르는 번거로움을 줄이기 위해, 교체형 패치와 온열·공기압을 결합한 발목 착용형 셀프케어 제품 및 패치 반복 구매 모델.</x:v>
      </x:c>
      <x:c r="L158" s="78"/>
      <x:c r="M158" s="78"/>
      <x:c r="N158" s="78"/>
      <x:c r="O158" s="78"/>
      <x:c r="P158" s="78"/>
      <x:c r="Q158" s="78"/>
    </x:row>
    <x:row r="159" ht="20" customHeight="1">
      <x:c r="A159" s="52"/>
      <x:c r="B159" s="52"/>
      <x:c r="C159" s="76"/>
      <x:c r="D159" s="76"/>
      <x:c r="E159" s="76"/>
      <x:c r="F159" s="76"/>
      <x:c r="G159" s="76"/>
      <x:c r="H159" s="76"/>
      <x:c r="I159" s="76"/>
      <x:c r="J159" s="52"/>
      <x:c r="K159" s="78"/>
      <x:c r="L159" s="78"/>
      <x:c r="M159" s="78"/>
      <x:c r="N159" s="78"/>
      <x:c r="O159" s="78"/>
      <x:c r="P159" s="78"/>
      <x:c r="Q159" s="78"/>
    </x:row>
    <x:row r="160" ht="20" customHeight="1">
      <x:c r="A160" s="52"/>
      <x:c r="B160" s="52"/>
      <x:c r="C160" s="76"/>
      <x:c r="D160" s="76"/>
      <x:c r="E160" s="76"/>
      <x:c r="F160" s="76"/>
      <x:c r="G160" s="76"/>
      <x:c r="H160" s="76"/>
      <x:c r="I160" s="76"/>
      <x:c r="J160" s="52"/>
      <x:c r="K160" s="78"/>
      <x:c r="L160" s="78"/>
      <x:c r="M160" s="78"/>
      <x:c r="N160" s="78"/>
      <x:c r="O160" s="78"/>
      <x:c r="P160" s="78"/>
      <x:c r="Q160" s="78"/>
    </x:row>
    <x:row r="161" ht="20" customHeight="1">
      <x:c r="A161" s="52"/>
      <x:c r="B161" s="52"/>
      <x:c r="C161" s="76"/>
      <x:c r="D161" s="76"/>
      <x:c r="E161" s="76"/>
      <x:c r="F161" s="76"/>
      <x:c r="G161" s="76"/>
      <x:c r="H161" s="76"/>
      <x:c r="I161" s="76"/>
      <x:c r="J161" s="52"/>
      <x:c r="K161" s="78"/>
      <x:c r="L161" s="78"/>
      <x:c r="M161" s="78"/>
      <x:c r="N161" s="78"/>
      <x:c r="O161" s="78"/>
      <x:c r="P161" s="78"/>
      <x:c r="Q161" s="78"/>
    </x:row>
    <x:row r="162" ht="20" customHeight="1">
      <x:c r="A162" s="52"/>
      <x:c r="B162" s="52"/>
      <x:c r="C162" s="76"/>
      <x:c r="D162" s="76"/>
      <x:c r="E162" s="76"/>
      <x:c r="F162" s="76"/>
      <x:c r="G162" s="76"/>
      <x:c r="H162" s="76"/>
      <x:c r="I162" s="76"/>
      <x:c r="J162" s="52"/>
      <x:c r="K162" s="78"/>
      <x:c r="L162" s="78"/>
      <x:c r="M162" s="78"/>
      <x:c r="N162" s="78"/>
      <x:c r="O162" s="78"/>
      <x:c r="P162" s="78"/>
      <x:c r="Q162" s="78"/>
    </x:row>
    <x:row r="163" ht="20" customHeight="1">
      <x:c r="A163" s="52"/>
      <x:c r="B163" s="52"/>
      <x:c r="C163" s="61" t="str">
        <x:v>원안의 제품 개념을 한 문장으로 정리했습니다. 실제 검증·제조 결과에 맞춰 수정하세요.</x:v>
      </x:c>
      <x:c r="D163" s="61"/>
      <x:c r="E163" s="61"/>
      <x:c r="F163" s="61"/>
      <x:c r="G163" s="61"/>
      <x:c r="H163" s="61"/>
      <x:c r="I163" s="61"/>
      <x:c r="J163" s="61"/>
      <x:c r="K163" s="61"/>
      <x:c r="L163" s="61"/>
      <x:c r="M163" s="61"/>
      <x:c r="N163" s="61"/>
      <x:c r="O163" s="61"/>
      <x:c r="P163" s="61"/>
      <x:c r="Q163" s="61"/>
    </x:row>
    <x:row r="164" ht="20" customHeight="1">
      <x:c r="A164" s="52"/>
      <x:c r="B164" s="52"/>
      <x:c r="C164" s="61"/>
      <x:c r="D164" s="61"/>
      <x:c r="E164" s="61"/>
      <x:c r="F164" s="61"/>
      <x:c r="G164" s="61"/>
      <x:c r="H164" s="61"/>
      <x:c r="I164" s="61"/>
      <x:c r="J164" s="61"/>
      <x:c r="K164" s="61"/>
      <x:c r="L164" s="61"/>
      <x:c r="M164" s="61"/>
      <x:c r="N164" s="61"/>
      <x:c r="O164" s="61"/>
      <x:c r="P164" s="61"/>
      <x:c r="Q164" s="61"/>
    </x:row>
    <x:row r="165" ht="20" customHeight="1">
      <x:c r="A165" s="52"/>
      <x:c r="B165" s="52"/>
      <x:c r="C165" s="52"/>
      <x:c r="D165" s="52"/>
      <x:c r="E165" s="52"/>
      <x:c r="F165" s="52"/>
      <x:c r="G165" s="52"/>
      <x:c r="H165" s="52"/>
      <x:c r="I165" s="52"/>
      <x:c r="J165" s="52"/>
      <x:c r="K165" s="52"/>
      <x:c r="L165" s="52"/>
      <x:c r="M165" s="52"/>
      <x:c r="N165" s="52"/>
      <x:c r="O165" s="52"/>
      <x:c r="P165" s="52"/>
      <x:c r="Q165" s="52"/>
    </x:row>
    <x:row r="166" ht="28" customHeight="1">
      <x:c r="A166" s="52"/>
      <x:c r="B166" s="52"/>
      <x:c r="C166" s="58" t="str">
        <x:v>별첨 2  첫 번째 고객</x:v>
      </x:c>
      <x:c r="D166" s="58"/>
      <x:c r="E166" s="58"/>
      <x:c r="F166" s="58"/>
      <x:c r="G166" s="58"/>
      <x:c r="H166" s="58"/>
      <x:c r="I166" s="58"/>
      <x:c r="J166" s="58"/>
      <x:c r="K166" s="58"/>
      <x:c r="L166" s="58"/>
      <x:c r="M166" s="58"/>
      <x:c r="N166" s="58"/>
      <x:c r="O166" s="58"/>
      <x:c r="P166" s="58"/>
      <x:c r="Q166" s="58"/>
    </x:row>
    <x:row r="167" ht="20" customHeight="1">
      <x:c r="A167" s="52"/>
      <x:c r="B167" s="52"/>
      <x:c r="C167" s="73" t="str">
        <x:v>서술 초안 | 직접 수정</x:v>
      </x:c>
      <x:c r="D167" s="73"/>
      <x:c r="E167" s="73"/>
      <x:c r="F167" s="73"/>
      <x:c r="G167" s="73"/>
      <x:c r="H167" s="73"/>
      <x:c r="I167" s="73"/>
      <x:c r="J167" s="52"/>
      <x:c r="K167" s="75" t="str">
        <x:v>제출 문안 | 자동 연결 · 이 셀을 복사</x:v>
      </x:c>
      <x:c r="L167" s="75"/>
      <x:c r="M167" s="75"/>
      <x:c r="N167" s="75"/>
      <x:c r="O167" s="75"/>
      <x:c r="P167" s="75"/>
      <x:c r="Q167" s="75"/>
    </x:row>
    <x:row r="168" ht="20" customHeight="1">
      <x:c r="A168" s="52"/>
      <x:c r="B168" s="52"/>
      <x:c r="C168" s="76" t="str">
        <x:v>최근 생리 전후 불편감 때문에 온열·마사지 등 셀프케어에 비용을 지불했고, 집이나 사무실에서 앉아 있는 동안 손을 쓰지 않는 발목 셀프케어를 시도해 볼 의사가 있는 성인 여성. 기존 대안의 불편과 새로운 제품에 지불할 의사를 인터뷰와 실제 구매 행동으로 확인한다.</x:v>
      </x:c>
      <x:c r="D168" s="76"/>
      <x:c r="E168" s="76"/>
      <x:c r="F168" s="76"/>
      <x:c r="G168" s="76"/>
      <x:c r="H168" s="76"/>
      <x:c r="I168" s="76"/>
      <x:c r="J168" s="52"/>
      <x:c r="K168" s="78" t="str">
        <x:f>IF(LEN(C168)=0,"[작성 필요]",C168)</x:f>
        <x:v>최근 생리 전후 불편감 때문에 온열·마사지 등 셀프케어에 비용을 지불했고, 집이나 사무실에서 앉아 있는 동안 손을 쓰지 않는 발목 셀프케어를 시도해 볼 의사가 있는 성인 여성. 기존 대안의 불편과 새로운 제품에 지불할 의사를 인터뷰와 실제 구매 행동으로 확인한다.</x:v>
      </x:c>
      <x:c r="L168" s="78"/>
      <x:c r="M168" s="78"/>
      <x:c r="N168" s="78"/>
      <x:c r="O168" s="78"/>
      <x:c r="P168" s="78"/>
      <x:c r="Q168" s="78"/>
    </x:row>
    <x:row r="169" ht="20" customHeight="1">
      <x:c r="A169" s="52"/>
      <x:c r="B169" s="52"/>
      <x:c r="C169" s="76"/>
      <x:c r="D169" s="76"/>
      <x:c r="E169" s="76"/>
      <x:c r="F169" s="76"/>
      <x:c r="G169" s="76"/>
      <x:c r="H169" s="76"/>
      <x:c r="I169" s="76"/>
      <x:c r="J169" s="52"/>
      <x:c r="K169" s="78"/>
      <x:c r="L169" s="78"/>
      <x:c r="M169" s="78"/>
      <x:c r="N169" s="78"/>
      <x:c r="O169" s="78"/>
      <x:c r="P169" s="78"/>
      <x:c r="Q169" s="78"/>
    </x:row>
    <x:row r="170" ht="20" customHeight="1">
      <x:c r="A170" s="52"/>
      <x:c r="B170" s="52"/>
      <x:c r="C170" s="76"/>
      <x:c r="D170" s="76"/>
      <x:c r="E170" s="76"/>
      <x:c r="F170" s="76"/>
      <x:c r="G170" s="76"/>
      <x:c r="H170" s="76"/>
      <x:c r="I170" s="76"/>
      <x:c r="J170" s="52"/>
      <x:c r="K170" s="78"/>
      <x:c r="L170" s="78"/>
      <x:c r="M170" s="78"/>
      <x:c r="N170" s="78"/>
      <x:c r="O170" s="78"/>
      <x:c r="P170" s="78"/>
      <x:c r="Q170" s="78"/>
    </x:row>
    <x:row r="171" ht="20" customHeight="1">
      <x:c r="A171" s="52"/>
      <x:c r="B171" s="52"/>
      <x:c r="C171" s="76"/>
      <x:c r="D171" s="76"/>
      <x:c r="E171" s="76"/>
      <x:c r="F171" s="76"/>
      <x:c r="G171" s="76"/>
      <x:c r="H171" s="76"/>
      <x:c r="I171" s="76"/>
      <x:c r="J171" s="52"/>
      <x:c r="K171" s="78"/>
      <x:c r="L171" s="78"/>
      <x:c r="M171" s="78"/>
      <x:c r="N171" s="78"/>
      <x:c r="O171" s="78"/>
      <x:c r="P171" s="78"/>
      <x:c r="Q171" s="78"/>
    </x:row>
    <x:row r="172" ht="20" customHeight="1">
      <x:c r="A172" s="52"/>
      <x:c r="B172" s="52"/>
      <x:c r="C172" s="76"/>
      <x:c r="D172" s="76"/>
      <x:c r="E172" s="76"/>
      <x:c r="F172" s="76"/>
      <x:c r="G172" s="76"/>
      <x:c r="H172" s="76"/>
      <x:c r="I172" s="76"/>
      <x:c r="J172" s="52"/>
      <x:c r="K172" s="78"/>
      <x:c r="L172" s="78"/>
      <x:c r="M172" s="78"/>
      <x:c r="N172" s="78"/>
      <x:c r="O172" s="78"/>
      <x:c r="P172" s="78"/>
      <x:c r="Q172" s="78"/>
    </x:row>
    <x:row r="173" ht="20" customHeight="1">
      <x:c r="A173" s="52"/>
      <x:c r="B173" s="52"/>
      <x:c r="C173" s="76"/>
      <x:c r="D173" s="76"/>
      <x:c r="E173" s="76"/>
      <x:c r="F173" s="76"/>
      <x:c r="G173" s="76"/>
      <x:c r="H173" s="76"/>
      <x:c r="I173" s="76"/>
      <x:c r="J173" s="52"/>
      <x:c r="K173" s="78"/>
      <x:c r="L173" s="78"/>
      <x:c r="M173" s="78"/>
      <x:c r="N173" s="78"/>
      <x:c r="O173" s="78"/>
      <x:c r="P173" s="78"/>
      <x:c r="Q173" s="78"/>
    </x:row>
    <x:row r="174" ht="20" customHeight="1">
      <x:c r="A174" s="52"/>
      <x:c r="B174" s="52"/>
      <x:c r="C174" s="61" t="str">
        <x:v>연령만으로 정의하기보다 최근 행동·지출·사용 장면을 기준으로 모집하세요.</x:v>
      </x:c>
      <x:c r="D174" s="61"/>
      <x:c r="E174" s="61"/>
      <x:c r="F174" s="61"/>
      <x:c r="G174" s="61"/>
      <x:c r="H174" s="61"/>
      <x:c r="I174" s="61"/>
      <x:c r="J174" s="61"/>
      <x:c r="K174" s="61"/>
      <x:c r="L174" s="61"/>
      <x:c r="M174" s="61"/>
      <x:c r="N174" s="61"/>
      <x:c r="O174" s="61"/>
      <x:c r="P174" s="61"/>
      <x:c r="Q174" s="61"/>
    </x:row>
    <x:row r="175" ht="20" customHeight="1">
      <x:c r="A175" s="52"/>
      <x:c r="B175" s="52"/>
      <x:c r="C175" s="61"/>
      <x:c r="D175" s="61"/>
      <x:c r="E175" s="61"/>
      <x:c r="F175" s="61"/>
      <x:c r="G175" s="61"/>
      <x:c r="H175" s="61"/>
      <x:c r="I175" s="61"/>
      <x:c r="J175" s="61"/>
      <x:c r="K175" s="61"/>
      <x:c r="L175" s="61"/>
      <x:c r="M175" s="61"/>
      <x:c r="N175" s="61"/>
      <x:c r="O175" s="61"/>
      <x:c r="P175" s="61"/>
      <x:c r="Q175" s="61"/>
    </x:row>
    <x:row r="176" ht="20" customHeight="1">
      <x:c r="A176" s="52"/>
      <x:c r="B176" s="52"/>
      <x:c r="C176" s="52"/>
      <x:c r="D176" s="52"/>
      <x:c r="E176" s="52"/>
      <x:c r="F176" s="52"/>
      <x:c r="G176" s="52"/>
      <x:c r="H176" s="52"/>
      <x:c r="I176" s="52"/>
      <x:c r="J176" s="52"/>
      <x:c r="K176" s="52"/>
      <x:c r="L176" s="52"/>
      <x:c r="M176" s="52"/>
      <x:c r="N176" s="52"/>
      <x:c r="O176" s="52"/>
      <x:c r="P176" s="52"/>
      <x:c r="Q176" s="52"/>
    </x:row>
    <x:row r="177" ht="28" customHeight="1">
      <x:c r="A177" s="52"/>
      <x:c r="B177" s="52"/>
      <x:c r="C177" s="58" t="str">
        <x:v>별첨 3  시장 크기 (TAM · SAM · SOM)</x:v>
      </x:c>
      <x:c r="D177" s="58"/>
      <x:c r="E177" s="58"/>
      <x:c r="F177" s="58"/>
      <x:c r="G177" s="58"/>
      <x:c r="H177" s="58"/>
      <x:c r="I177" s="58"/>
      <x:c r="J177" s="58"/>
      <x:c r="K177" s="58"/>
      <x:c r="L177" s="58"/>
      <x:c r="M177" s="58"/>
      <x:c r="N177" s="58"/>
      <x:c r="O177" s="58"/>
      <x:c r="P177" s="58"/>
      <x:c r="Q177" s="58"/>
    </x:row>
    <x:row r="178" ht="20" customHeight="1">
      <x:c r="A178" s="52"/>
      <x:c r="B178" s="52"/>
      <x:c r="C178" s="73" t="str">
        <x:v>서술 초안 | 직접 수정</x:v>
      </x:c>
      <x:c r="D178" s="73"/>
      <x:c r="E178" s="73"/>
      <x:c r="F178" s="73"/>
      <x:c r="G178" s="73"/>
      <x:c r="H178" s="73"/>
      <x:c r="I178" s="73"/>
      <x:c r="J178" s="52"/>
      <x:c r="K178" s="75" t="str">
        <x:v>제출 문안 | 자동 연결 · 이 셀을 복사</x:v>
      </x:c>
      <x:c r="L178" s="75"/>
      <x:c r="M178" s="75"/>
      <x:c r="N178" s="75"/>
      <x:c r="O178" s="75"/>
      <x:c r="P178" s="75"/>
      <x:c r="Q178" s="75"/>
    </x:row>
    <x:row r="179" ht="20" customHeight="1">
      <x:c r="A179" s="52"/>
      <x:c r="B179" s="52"/>
      <x:c r="C179" s="76" t="str">
        <x:v>TAM은 제품 범주·지역·고객 정의와 공신력 있는 통계를 추가 확인한 뒤 확정한다. 광의의 여성건강 시장 전체를 본 제품의 수요로 사용하지 않는다. 아래 SAM·SOM은 외부 시장조사로 확정된 규모가 아닌 고객 수·적합도·지불 의사에 따른 상향식 가정이다.</x:v>
      </x:c>
      <x:c r="D179" s="76"/>
      <x:c r="E179" s="76"/>
      <x:c r="F179" s="76"/>
      <x:c r="G179" s="76"/>
      <x:c r="H179" s="76"/>
      <x:c r="I179" s="76"/>
      <x:c r="J179" s="52"/>
      <x:c r="K179" s="80" t="str">
        <x:f>IF(LEN(C179)=0,"[작성 필요]",C179)&amp;" 잠재 고객 "&amp;TEXT('06_시장경쟁'!F24,"#,##0")&amp;"명 × 문제 적합도 "&amp;TEXT('06_시장경쟁'!F25,"0%")&amp;" × 지불 수용도 "&amp;TEXT('06_시장경쟁'!F26,"0%")&amp;" = 조건부 SAM "&amp;TEXT('06_시장경쟁'!F27,"#,##0")&amp;"명이다. 본체 1회 구매 기준 잠재 거래액은 "&amp;TEXT('06_시장경쟁'!F29/100000000,"#,##0.0")&amp;"억원(VAT 포함), 연간 도입률 "&amp;TEXT('06_시장경쟁'!F30,"0%")&amp;" 적용 시 "&amp;TEXT('06_시장경쟁'!F31/100000000,"#,##0.0")&amp;"억원이다. SOM 실행 목표는 1년차 DTC 출고 "&amp;TEXT('06_시장경쟁'!F33,"#,##0")&amp;"개, 전체 사업 순매출 "&amp;TEXT('06_시장경쟁'!F35/1000000,"#,##0.0")&amp;"백만원(VAT 제외·환불 차감)이다."</x:f>
        <x:v>TAM은 제품 범주·지역·고객 정의와 공신력 있는 통계를 추가 확인한 뒤 확정한다. 광의의 여성건강 시장 전체를 본 제품의 수요로 사용하지 않는다. 아래 SAM·SOM은 외부 시장조사로 확정된 규모가 아닌 고객 수·적합도·지불 의사에 따른 상향식 가정이다. 잠재 고객 1,000,000명 × 문제 적합도 20% × 지불 수용도 30% = 조건부 SAM 60,000명이다. 본체 1회 구매 기준 잠재 거래액은 89.4억원(VAT 포함), 연간 도입률 10% 적용 시 8.9억원이다. SOM 실행 목표는 1년차 DTC 출고 418개, 전체 사업 순매출 54.2백만원(VAT 제외·환불 차감)이다.</x:v>
      </x:c>
      <x:c r="L179" s="80"/>
      <x:c r="M179" s="80"/>
      <x:c r="N179" s="80"/>
      <x:c r="O179" s="80"/>
      <x:c r="P179" s="80"/>
      <x:c r="Q179" s="80"/>
    </x:row>
    <x:row r="180" ht="20" customHeight="1">
      <x:c r="A180" s="52"/>
      <x:c r="B180" s="52"/>
      <x:c r="C180" s="76"/>
      <x:c r="D180" s="76"/>
      <x:c r="E180" s="76"/>
      <x:c r="F180" s="76"/>
      <x:c r="G180" s="76"/>
      <x:c r="H180" s="76"/>
      <x:c r="I180" s="76"/>
      <x:c r="J180" s="52"/>
      <x:c r="K180" s="80"/>
      <x:c r="L180" s="80"/>
      <x:c r="M180" s="80"/>
      <x:c r="N180" s="80"/>
      <x:c r="O180" s="80"/>
      <x:c r="P180" s="80"/>
      <x:c r="Q180" s="80"/>
    </x:row>
    <x:row r="181" ht="20" customHeight="1">
      <x:c r="A181" s="52"/>
      <x:c r="B181" s="52"/>
      <x:c r="C181" s="76"/>
      <x:c r="D181" s="76"/>
      <x:c r="E181" s="76"/>
      <x:c r="F181" s="76"/>
      <x:c r="G181" s="76"/>
      <x:c r="H181" s="76"/>
      <x:c r="I181" s="76"/>
      <x:c r="J181" s="52"/>
      <x:c r="K181" s="80"/>
      <x:c r="L181" s="80"/>
      <x:c r="M181" s="80"/>
      <x:c r="N181" s="80"/>
      <x:c r="O181" s="80"/>
      <x:c r="P181" s="80"/>
      <x:c r="Q181" s="80"/>
    </x:row>
    <x:row r="182" ht="20" customHeight="1">
      <x:c r="A182" s="52"/>
      <x:c r="B182" s="52"/>
      <x:c r="C182" s="76"/>
      <x:c r="D182" s="76"/>
      <x:c r="E182" s="76"/>
      <x:c r="F182" s="76"/>
      <x:c r="G182" s="76"/>
      <x:c r="H182" s="76"/>
      <x:c r="I182" s="76"/>
      <x:c r="J182" s="52"/>
      <x:c r="K182" s="80"/>
      <x:c r="L182" s="80"/>
      <x:c r="M182" s="80"/>
      <x:c r="N182" s="80"/>
      <x:c r="O182" s="80"/>
      <x:c r="P182" s="80"/>
      <x:c r="Q182" s="80"/>
    </x:row>
    <x:row r="183" ht="20" customHeight="1">
      <x:c r="A183" s="52"/>
      <x:c r="B183" s="52"/>
      <x:c r="C183" s="76"/>
      <x:c r="D183" s="76"/>
      <x:c r="E183" s="76"/>
      <x:c r="F183" s="76"/>
      <x:c r="G183" s="76"/>
      <x:c r="H183" s="76"/>
      <x:c r="I183" s="76"/>
      <x:c r="J183" s="52"/>
      <x:c r="K183" s="80"/>
      <x:c r="L183" s="80"/>
      <x:c r="M183" s="80"/>
      <x:c r="N183" s="80"/>
      <x:c r="O183" s="80"/>
      <x:c r="P183" s="80"/>
      <x:c r="Q183" s="80"/>
    </x:row>
    <x:row r="184" ht="20" customHeight="1">
      <x:c r="A184" s="52"/>
      <x:c r="B184" s="52"/>
      <x:c r="C184" s="76"/>
      <x:c r="D184" s="76"/>
      <x:c r="E184" s="76"/>
      <x:c r="F184" s="76"/>
      <x:c r="G184" s="76"/>
      <x:c r="H184" s="76"/>
      <x:c r="I184" s="76"/>
      <x:c r="J184" s="52"/>
      <x:c r="K184" s="80"/>
      <x:c r="L184" s="80"/>
      <x:c r="M184" s="80"/>
      <x:c r="N184" s="80"/>
      <x:c r="O184" s="80"/>
      <x:c r="P184" s="80"/>
      <x:c r="Q184" s="80"/>
    </x:row>
    <x:row r="185" ht="20" customHeight="1">
      <x:c r="A185" s="52"/>
      <x:c r="B185" s="52"/>
      <x:c r="C185" s="76"/>
      <x:c r="D185" s="76"/>
      <x:c r="E185" s="76"/>
      <x:c r="F185" s="76"/>
      <x:c r="G185" s="76"/>
      <x:c r="H185" s="76"/>
      <x:c r="I185" s="76"/>
      <x:c r="J185" s="52"/>
      <x:c r="K185" s="80"/>
      <x:c r="L185" s="80"/>
      <x:c r="M185" s="80"/>
      <x:c r="N185" s="80"/>
      <x:c r="O185" s="80"/>
      <x:c r="P185" s="80"/>
      <x:c r="Q185" s="80"/>
    </x:row>
    <x:row r="186" ht="20" customHeight="1">
      <x:c r="A186" s="52"/>
      <x:c r="B186" s="52"/>
      <x:c r="C186" s="76"/>
      <x:c r="D186" s="76"/>
      <x:c r="E186" s="76"/>
      <x:c r="F186" s="76"/>
      <x:c r="G186" s="76"/>
      <x:c r="H186" s="76"/>
      <x:c r="I186" s="76"/>
      <x:c r="J186" s="52"/>
      <x:c r="K186" s="80"/>
      <x:c r="L186" s="80"/>
      <x:c r="M186" s="80"/>
      <x:c r="N186" s="80"/>
      <x:c r="O186" s="80"/>
      <x:c r="P186" s="80"/>
      <x:c r="Q186" s="80"/>
    </x:row>
    <x:row r="187" ht="20" customHeight="1">
      <x:c r="A187" s="52"/>
      <x:c r="B187" s="52"/>
      <x:c r="C187" s="76"/>
      <x:c r="D187" s="76"/>
      <x:c r="E187" s="76"/>
      <x:c r="F187" s="76"/>
      <x:c r="G187" s="76"/>
      <x:c r="H187" s="76"/>
      <x:c r="I187" s="76"/>
      <x:c r="J187" s="52"/>
      <x:c r="K187" s="80"/>
      <x:c r="L187" s="80"/>
      <x:c r="M187" s="80"/>
      <x:c r="N187" s="80"/>
      <x:c r="O187" s="80"/>
      <x:c r="P187" s="80"/>
      <x:c r="Q187" s="80"/>
    </x:row>
    <x:row r="188" ht="20" customHeight="1">
      <x:c r="A188" s="52"/>
      <x:c r="B188" s="52"/>
      <x:c r="C188" s="76"/>
      <x:c r="D188" s="76"/>
      <x:c r="E188" s="76"/>
      <x:c r="F188" s="76"/>
      <x:c r="G188" s="76"/>
      <x:c r="H188" s="76"/>
      <x:c r="I188" s="76"/>
      <x:c r="J188" s="52"/>
      <x:c r="K188" s="80"/>
      <x:c r="L188" s="80"/>
      <x:c r="M188" s="80"/>
      <x:c r="N188" s="80"/>
      <x:c r="O188" s="80"/>
      <x:c r="P188" s="80"/>
      <x:c r="Q188" s="80"/>
    </x:row>
    <x:row r="189" ht="20" customHeight="1">
      <x:c r="A189" s="52"/>
      <x:c r="B189" s="52"/>
      <x:c r="C189" s="76"/>
      <x:c r="D189" s="76"/>
      <x:c r="E189" s="76"/>
      <x:c r="F189" s="76"/>
      <x:c r="G189" s="76"/>
      <x:c r="H189" s="76"/>
      <x:c r="I189" s="76"/>
      <x:c r="J189" s="52"/>
      <x:c r="K189" s="80"/>
      <x:c r="L189" s="80"/>
      <x:c r="M189" s="80"/>
      <x:c r="N189" s="80"/>
      <x:c r="O189" s="80"/>
      <x:c r="P189" s="80"/>
      <x:c r="Q189" s="80"/>
    </x:row>
    <x:row r="190" ht="20" customHeight="1">
      <x:c r="A190" s="52"/>
      <x:c r="B190" s="52"/>
      <x:c r="C190" s="76"/>
      <x:c r="D190" s="76"/>
      <x:c r="E190" s="76"/>
      <x:c r="F190" s="76"/>
      <x:c r="G190" s="76"/>
      <x:c r="H190" s="76"/>
      <x:c r="I190" s="76"/>
      <x:c r="J190" s="52"/>
      <x:c r="K190" s="80"/>
      <x:c r="L190" s="80"/>
      <x:c r="M190" s="80"/>
      <x:c r="N190" s="80"/>
      <x:c r="O190" s="80"/>
      <x:c r="P190" s="80"/>
      <x:c r="Q190" s="80"/>
    </x:row>
    <x:row r="191" ht="20" customHeight="1">
      <x:c r="A191" s="52"/>
      <x:c r="B191" s="52"/>
      <x:c r="C191" s="61" t="str">
        <x:v>01_가정!F110:F113 → 06_시장경쟁!F24:F35. SAM 잠재 거래액과 SOM 순매출은 기준이 달라 직접 나누어 점유율로 쓰지 마세요.</x:v>
      </x:c>
      <x:c r="D191" s="61"/>
      <x:c r="E191" s="61"/>
      <x:c r="F191" s="61"/>
      <x:c r="G191" s="61"/>
      <x:c r="H191" s="61"/>
      <x:c r="I191" s="61"/>
      <x:c r="J191" s="61"/>
      <x:c r="K191" s="61"/>
      <x:c r="L191" s="61"/>
      <x:c r="M191" s="61"/>
      <x:c r="N191" s="61"/>
      <x:c r="O191" s="61"/>
      <x:c r="P191" s="61"/>
      <x:c r="Q191" s="61"/>
    </x:row>
    <x:row r="192" ht="20" customHeight="1">
      <x:c r="A192" s="52"/>
      <x:c r="B192" s="52"/>
      <x:c r="C192" s="61"/>
      <x:c r="D192" s="61"/>
      <x:c r="E192" s="61"/>
      <x:c r="F192" s="61"/>
      <x:c r="G192" s="61"/>
      <x:c r="H192" s="61"/>
      <x:c r="I192" s="61"/>
      <x:c r="J192" s="61"/>
      <x:c r="K192" s="61"/>
      <x:c r="L192" s="61"/>
      <x:c r="M192" s="61"/>
      <x:c r="N192" s="61"/>
      <x:c r="O192" s="61"/>
      <x:c r="P192" s="61"/>
      <x:c r="Q192" s="61"/>
    </x:row>
    <x:row r="193" ht="20" customHeight="1">
      <x:c r="A193" s="52"/>
      <x:c r="B193" s="52"/>
      <x:c r="C193" s="52"/>
      <x:c r="D193" s="52"/>
      <x:c r="E193" s="52"/>
      <x:c r="F193" s="52"/>
      <x:c r="G193" s="52"/>
      <x:c r="H193" s="52"/>
      <x:c r="I193" s="52"/>
      <x:c r="J193" s="52"/>
      <x:c r="K193" s="52"/>
      <x:c r="L193" s="52"/>
      <x:c r="M193" s="52"/>
      <x:c r="N193" s="52"/>
      <x:c r="O193" s="52"/>
      <x:c r="P193" s="52"/>
      <x:c r="Q193" s="52"/>
    </x:row>
    <x:row r="194" ht="28" customHeight="1">
      <x:c r="A194" s="52"/>
      <x:c r="B194" s="52"/>
      <x:c r="C194" s="58" t="str">
        <x:v>별첨 4  기존 대안재</x:v>
      </x:c>
      <x:c r="D194" s="58"/>
      <x:c r="E194" s="58"/>
      <x:c r="F194" s="58"/>
      <x:c r="G194" s="58"/>
      <x:c r="H194" s="58"/>
      <x:c r="I194" s="58"/>
      <x:c r="J194" s="58"/>
      <x:c r="K194" s="58"/>
      <x:c r="L194" s="58"/>
      <x:c r="M194" s="58"/>
      <x:c r="N194" s="58"/>
      <x:c r="O194" s="58"/>
      <x:c r="P194" s="58"/>
      <x:c r="Q194" s="58"/>
    </x:row>
    <x:row r="195" ht="20" customHeight="1">
      <x:c r="A195" s="52"/>
      <x:c r="B195" s="52"/>
      <x:c r="C195" s="73" t="str">
        <x:v>서술 초안 | 직접 수정</x:v>
      </x:c>
      <x:c r="D195" s="73"/>
      <x:c r="E195" s="73"/>
      <x:c r="F195" s="73"/>
      <x:c r="G195" s="73"/>
      <x:c r="H195" s="73"/>
      <x:c r="I195" s="73"/>
      <x:c r="J195" s="52"/>
      <x:c r="K195" s="75" t="str">
        <x:v>제출 문안 | 자동 연결 · 이 셀을 복사</x:v>
      </x:c>
      <x:c r="L195" s="75"/>
      <x:c r="M195" s="75"/>
      <x:c r="N195" s="75"/>
      <x:c r="O195" s="75"/>
      <x:c r="P195" s="75"/>
      <x:c r="Q195" s="75"/>
    </x:row>
    <x:row r="196" ht="20" customHeight="1">
      <x:c r="A196" s="52"/>
      <x:c r="B196" s="52"/>
      <x:c r="C196" s="76" t="str">
        <x:v>고객이 현재 선택하는 대안은 온열팩, 손 지압·마사지, 저주파 자극 기기, 일반 마사지기 등이다. 제품별로 사용 부위·목적·규제 분류가 달라 모두를 동일한 직접 경쟁사로 간주하지 않는다. 가격뿐 아니라 사용 편의, 소모품, 반복 사용 부담과 실제 지불 의사를 비교한다.</x:v>
      </x:c>
      <x:c r="D196" s="76"/>
      <x:c r="E196" s="76"/>
      <x:c r="F196" s="76"/>
      <x:c r="G196" s="76"/>
      <x:c r="H196" s="76"/>
      <x:c r="I196" s="76"/>
      <x:c r="J196" s="52"/>
      <x:c r="K196" s="80" t="str">
        <x:f>IF(LEN(C196)=0,"[작성 필요]",C196)&amp;" 비교 후보: Myoovi·Livia·Beurer EM50(저주파), ThermaCare(온열), 풀리오·클럭(일반 마사지). 상세 비교는 별도 경쟁 분석표를 기준으로 업데이트한다."</x:f>
        <x:v>고객이 현재 선택하는 대안은 온열팩, 손 지압·마사지, 저주파 자극 기기, 일반 마사지기 등이다. 제품별로 사용 부위·목적·규제 분류가 달라 모두를 동일한 직접 경쟁사로 간주하지 않는다. 가격뿐 아니라 사용 편의, 소모품, 반복 사용 부담과 실제 지불 의사를 비교한다. 비교 후보: Myoovi·Livia·Beurer EM50(저주파), ThermaCare(온열), 풀리오·클럭(일반 마사지). 상세 비교는 별도 경쟁 분석표를 기준으로 업데이트한다.</x:v>
      </x:c>
      <x:c r="L196" s="80"/>
      <x:c r="M196" s="80"/>
      <x:c r="N196" s="80"/>
      <x:c r="O196" s="80"/>
      <x:c r="P196" s="80"/>
      <x:c r="Q196" s="80"/>
    </x:row>
    <x:row r="197" ht="20" customHeight="1">
      <x:c r="A197" s="52"/>
      <x:c r="B197" s="52"/>
      <x:c r="C197" s="76"/>
      <x:c r="D197" s="76"/>
      <x:c r="E197" s="76"/>
      <x:c r="F197" s="76"/>
      <x:c r="G197" s="76"/>
      <x:c r="H197" s="76"/>
      <x:c r="I197" s="76"/>
      <x:c r="J197" s="52"/>
      <x:c r="K197" s="80"/>
      <x:c r="L197" s="80"/>
      <x:c r="M197" s="80"/>
      <x:c r="N197" s="80"/>
      <x:c r="O197" s="80"/>
      <x:c r="P197" s="80"/>
      <x:c r="Q197" s="80"/>
    </x:row>
    <x:row r="198" ht="20" customHeight="1">
      <x:c r="A198" s="52"/>
      <x:c r="B198" s="52"/>
      <x:c r="C198" s="76"/>
      <x:c r="D198" s="76"/>
      <x:c r="E198" s="76"/>
      <x:c r="F198" s="76"/>
      <x:c r="G198" s="76"/>
      <x:c r="H198" s="76"/>
      <x:c r="I198" s="76"/>
      <x:c r="J198" s="52"/>
      <x:c r="K198" s="80"/>
      <x:c r="L198" s="80"/>
      <x:c r="M198" s="80"/>
      <x:c r="N198" s="80"/>
      <x:c r="O198" s="80"/>
      <x:c r="P198" s="80"/>
      <x:c r="Q198" s="80"/>
    </x:row>
    <x:row r="199" ht="20" customHeight="1">
      <x:c r="A199" s="52"/>
      <x:c r="B199" s="52"/>
      <x:c r="C199" s="76"/>
      <x:c r="D199" s="76"/>
      <x:c r="E199" s="76"/>
      <x:c r="F199" s="76"/>
      <x:c r="G199" s="76"/>
      <x:c r="H199" s="76"/>
      <x:c r="I199" s="76"/>
      <x:c r="J199" s="52"/>
      <x:c r="K199" s="80"/>
      <x:c r="L199" s="80"/>
      <x:c r="M199" s="80"/>
      <x:c r="N199" s="80"/>
      <x:c r="O199" s="80"/>
      <x:c r="P199" s="80"/>
      <x:c r="Q199" s="80"/>
    </x:row>
    <x:row r="200" ht="20" customHeight="1">
      <x:c r="A200" s="52"/>
      <x:c r="B200" s="52"/>
      <x:c r="C200" s="76"/>
      <x:c r="D200" s="76"/>
      <x:c r="E200" s="76"/>
      <x:c r="F200" s="76"/>
      <x:c r="G200" s="76"/>
      <x:c r="H200" s="76"/>
      <x:c r="I200" s="76"/>
      <x:c r="J200" s="52"/>
      <x:c r="K200" s="80"/>
      <x:c r="L200" s="80"/>
      <x:c r="M200" s="80"/>
      <x:c r="N200" s="80"/>
      <x:c r="O200" s="80"/>
      <x:c r="P200" s="80"/>
      <x:c r="Q200" s="80"/>
    </x:row>
    <x:row r="201" ht="20" customHeight="1">
      <x:c r="A201" s="52"/>
      <x:c r="B201" s="52"/>
      <x:c r="C201" s="76"/>
      <x:c r="D201" s="76"/>
      <x:c r="E201" s="76"/>
      <x:c r="F201" s="76"/>
      <x:c r="G201" s="76"/>
      <x:c r="H201" s="76"/>
      <x:c r="I201" s="76"/>
      <x:c r="J201" s="52"/>
      <x:c r="K201" s="80"/>
      <x:c r="L201" s="80"/>
      <x:c r="M201" s="80"/>
      <x:c r="N201" s="80"/>
      <x:c r="O201" s="80"/>
      <x:c r="P201" s="80"/>
      <x:c r="Q201" s="80"/>
    </x:row>
    <x:row r="202" ht="20" customHeight="1">
      <x:c r="A202" s="52"/>
      <x:c r="B202" s="52"/>
      <x:c r="C202" s="76"/>
      <x:c r="D202" s="76"/>
      <x:c r="E202" s="76"/>
      <x:c r="F202" s="76"/>
      <x:c r="G202" s="76"/>
      <x:c r="H202" s="76"/>
      <x:c r="I202" s="76"/>
      <x:c r="J202" s="52"/>
      <x:c r="K202" s="80"/>
      <x:c r="L202" s="80"/>
      <x:c r="M202" s="80"/>
      <x:c r="N202" s="80"/>
      <x:c r="O202" s="80"/>
      <x:c r="P202" s="80"/>
      <x:c r="Q202" s="80"/>
    </x:row>
    <x:row r="203" ht="20" customHeight="1">
      <x:c r="A203" s="52"/>
      <x:c r="B203" s="52"/>
      <x:c r="C203" s="76"/>
      <x:c r="D203" s="76"/>
      <x:c r="E203" s="76"/>
      <x:c r="F203" s="76"/>
      <x:c r="G203" s="76"/>
      <x:c r="H203" s="76"/>
      <x:c r="I203" s="76"/>
      <x:c r="J203" s="52"/>
      <x:c r="K203" s="80"/>
      <x:c r="L203" s="80"/>
      <x:c r="M203" s="80"/>
      <x:c r="N203" s="80"/>
      <x:c r="O203" s="80"/>
      <x:c r="P203" s="80"/>
      <x:c r="Q203" s="80"/>
    </x:row>
    <x:row r="204" ht="20" customHeight="1">
      <x:c r="A204" s="52"/>
      <x:c r="B204" s="52"/>
      <x:c r="C204" s="61" t="str">
        <x:v>비교 근거·확인 시점: 06_시장경쟁 및 07_근거원문. 타사 효능을 본 제품의 효능으로 인용하지 마세요.</x:v>
      </x:c>
      <x:c r="D204" s="61"/>
      <x:c r="E204" s="61"/>
      <x:c r="F204" s="61"/>
      <x:c r="G204" s="61"/>
      <x:c r="H204" s="61"/>
      <x:c r="I204" s="61"/>
      <x:c r="J204" s="61"/>
      <x:c r="K204" s="61"/>
      <x:c r="L204" s="61"/>
      <x:c r="M204" s="61"/>
      <x:c r="N204" s="61"/>
      <x:c r="O204" s="61"/>
      <x:c r="P204" s="61"/>
      <x:c r="Q204" s="61"/>
    </x:row>
    <x:row r="205" ht="20" customHeight="1">
      <x:c r="A205" s="52"/>
      <x:c r="B205" s="52"/>
      <x:c r="C205" s="61"/>
      <x:c r="D205" s="61"/>
      <x:c r="E205" s="61"/>
      <x:c r="F205" s="61"/>
      <x:c r="G205" s="61"/>
      <x:c r="H205" s="61"/>
      <x:c r="I205" s="61"/>
      <x:c r="J205" s="61"/>
      <x:c r="K205" s="61"/>
      <x:c r="L205" s="61"/>
      <x:c r="M205" s="61"/>
      <x:c r="N205" s="61"/>
      <x:c r="O205" s="61"/>
      <x:c r="P205" s="61"/>
      <x:c r="Q205" s="61"/>
    </x:row>
    <x:row r="206" ht="20" customHeight="1">
      <x:c r="A206" s="52"/>
      <x:c r="B206" s="52"/>
      <x:c r="C206" s="52"/>
      <x:c r="D206" s="52"/>
      <x:c r="E206" s="52"/>
      <x:c r="F206" s="52"/>
      <x:c r="G206" s="52"/>
      <x:c r="H206" s="52"/>
      <x:c r="I206" s="52"/>
      <x:c r="J206" s="52"/>
      <x:c r="K206" s="52"/>
      <x:c r="L206" s="52"/>
      <x:c r="M206" s="52"/>
      <x:c r="N206" s="52"/>
      <x:c r="O206" s="52"/>
      <x:c r="P206" s="52"/>
      <x:c r="Q206" s="52"/>
    </x:row>
    <x:row r="207" ht="20" customHeight="1">
      <x:c r="A207" s="52"/>
      <x:c r="B207" s="52"/>
      <x:c r="C207" s="58" t="str">
        <x:v>숫자 수정 위치 | 기준 시나리오를 선택한 경우</x:v>
      </x:c>
      <x:c r="D207" s="58"/>
      <x:c r="E207" s="58"/>
      <x:c r="F207" s="58"/>
      <x:c r="G207" s="58"/>
      <x:c r="H207" s="58"/>
      <x:c r="I207" s="58"/>
      <x:c r="J207" s="58"/>
      <x:c r="K207" s="58"/>
      <x:c r="L207" s="58"/>
      <x:c r="M207" s="58"/>
      <x:c r="N207" s="58"/>
      <x:c r="O207" s="58"/>
      <x:c r="P207" s="58"/>
      <x:c r="Q207" s="58"/>
    </x:row>
    <x:row r="208" ht="20" customHeight="1">
      <x:c r="A208" s="52"/>
      <x:c r="B208" s="52"/>
      <x:c r="C208" s="81" t="str">
        <x:v>가격 / 본체 제조원가</x:v>
      </x:c>
      <x:c r="D208" s="81"/>
      <x:c r="E208" s="81"/>
      <x:c r="F208" s="81"/>
      <x:c r="G208" s="54" t="str">
        <x:v>01_가정!F12:H12 / F16:H16</x:v>
      </x:c>
      <x:c r="H208" s="54"/>
      <x:c r="I208" s="54"/>
      <x:c r="J208" s="54"/>
      <x:c r="K208" s="54"/>
      <x:c r="L208" s="54"/>
      <x:c r="M208" s="54"/>
      <x:c r="N208" s="61" t="str">
        <x:v>1~3년차 가격·제조원가</x:v>
      </x:c>
      <x:c r="O208" s="61"/>
      <x:c r="P208" s="61"/>
      <x:c r="Q208" s="61"/>
    </x:row>
    <x:row r="209" ht="20" customHeight="1">
      <x:c r="A209" s="52"/>
      <x:c r="B209" s="52"/>
      <x:c r="C209" s="81"/>
      <x:c r="D209" s="81"/>
      <x:c r="E209" s="81"/>
      <x:c r="F209" s="81"/>
      <x:c r="G209" s="54"/>
      <x:c r="H209" s="54"/>
      <x:c r="I209" s="54"/>
      <x:c r="J209" s="54"/>
      <x:c r="K209" s="54"/>
      <x:c r="L209" s="54"/>
      <x:c r="M209" s="54"/>
      <x:c r="N209" s="61"/>
      <x:c r="O209" s="61"/>
      <x:c r="P209" s="61"/>
      <x:c r="Q209" s="61"/>
    </x:row>
    <x:row r="210" ht="20" customHeight="1">
      <x:c r="A210" s="52"/>
      <x:c r="B210" s="52"/>
      <x:c r="C210" s="81" t="str">
        <x:v>광고 CPC / 구매 전환율</x:v>
      </x:c>
      <x:c r="D210" s="81"/>
      <x:c r="E210" s="81"/>
      <x:c r="F210" s="81"/>
      <x:c r="G210" s="54" t="str">
        <x:v>01_가정!F20:H20 / F24:H24</x:v>
      </x:c>
      <x:c r="H210" s="54"/>
      <x:c r="I210" s="54"/>
      <x:c r="J210" s="54"/>
      <x:c r="K210" s="54"/>
      <x:c r="L210" s="54"/>
      <x:c r="M210" s="54"/>
      <x:c r="N210" s="61" t="str">
        <x:v>CAC와 판매량, 수익·현금이 함께 변합니다.</x:v>
      </x:c>
      <x:c r="O210" s="61"/>
      <x:c r="P210" s="61"/>
      <x:c r="Q210" s="61"/>
    </x:row>
    <x:row r="211" ht="20" customHeight="1">
      <x:c r="A211" s="52"/>
      <x:c r="B211" s="52"/>
      <x:c r="C211" s="81"/>
      <x:c r="D211" s="81"/>
      <x:c r="E211" s="81"/>
      <x:c r="F211" s="81"/>
      <x:c r="G211" s="54"/>
      <x:c r="H211" s="54"/>
      <x:c r="I211" s="54"/>
      <x:c r="J211" s="54"/>
      <x:c r="K211" s="54"/>
      <x:c r="L211" s="54"/>
      <x:c r="M211" s="54"/>
      <x:c r="N211" s="61"/>
      <x:c r="O211" s="61"/>
      <x:c r="P211" s="61"/>
      <x:c r="Q211" s="61"/>
    </x:row>
    <x:row r="212" ht="20" customHeight="1">
      <x:c r="A212" s="52"/>
      <x:c r="B212" s="52"/>
      <x:c r="C212" s="81" t="str">
        <x:v>광고 예산 / 자연 유입</x:v>
      </x:c>
      <x:c r="D212" s="81"/>
      <x:c r="E212" s="81"/>
      <x:c r="F212" s="81"/>
      <x:c r="G212" s="54" t="str">
        <x:v>01_가정!F44:H44 / F40:H40</x:v>
      </x:c>
      <x:c r="H212" s="54"/>
      <x:c r="I212" s="54"/>
      <x:c r="J212" s="54"/>
      <x:c r="K212" s="54"/>
      <x:c r="L212" s="54"/>
      <x:c r="M212" s="54"/>
      <x:c r="N212" s="61" t="str">
        <x:v>출시 후 판매량을 결정하는 가정</x:v>
      </x:c>
      <x:c r="O212" s="61"/>
      <x:c r="P212" s="61"/>
      <x:c r="Q212" s="61"/>
    </x:row>
    <x:row r="213" ht="20" customHeight="1">
      <x:c r="A213" s="52"/>
      <x:c r="B213" s="52"/>
      <x:c r="C213" s="81"/>
      <x:c r="D213" s="81"/>
      <x:c r="E213" s="81"/>
      <x:c r="F213" s="81"/>
      <x:c r="G213" s="54"/>
      <x:c r="H213" s="54"/>
      <x:c r="I213" s="54"/>
      <x:c r="J213" s="54"/>
      <x:c r="K213" s="54"/>
      <x:c r="L213" s="54"/>
      <x:c r="M213" s="54"/>
      <x:c r="N213" s="61"/>
      <x:c r="O213" s="61"/>
      <x:c r="P213" s="61"/>
      <x:c r="Q213" s="61"/>
    </x:row>
    <x:row r="214" ht="20" customHeight="1">
      <x:c r="A214" s="52"/>
      <x:c r="B214" s="52"/>
      <x:c r="C214" s="81" t="str">
        <x:v>패치 첫 구매 / 월 잔존율</x:v>
      </x:c>
      <x:c r="D214" s="81"/>
      <x:c r="E214" s="81"/>
      <x:c r="F214" s="81"/>
      <x:c r="G214" s="54" t="str">
        <x:v>01_가정!F32:H32 / F36:H36</x:v>
      </x:c>
      <x:c r="H214" s="54"/>
      <x:c r="I214" s="54"/>
      <x:c r="J214" s="54"/>
      <x:c r="K214" s="54"/>
      <x:c r="L214" s="54"/>
      <x:c r="M214" s="54"/>
      <x:c r="N214" s="61" t="str">
        <x:v>리필 반복 매출에 반영</x:v>
      </x:c>
      <x:c r="O214" s="61"/>
      <x:c r="P214" s="61"/>
      <x:c r="Q214" s="61"/>
    </x:row>
    <x:row r="215" ht="20" customHeight="1">
      <x:c r="A215" s="52"/>
      <x:c r="B215" s="52"/>
      <x:c r="C215" s="81"/>
      <x:c r="D215" s="81"/>
      <x:c r="E215" s="81"/>
      <x:c r="F215" s="81"/>
      <x:c r="G215" s="54"/>
      <x:c r="H215" s="54"/>
      <x:c r="I215" s="54"/>
      <x:c r="J215" s="54"/>
      <x:c r="K215" s="54"/>
      <x:c r="L215" s="54"/>
      <x:c r="M215" s="54"/>
      <x:c r="N215" s="61"/>
      <x:c r="O215" s="61"/>
      <x:c r="P215" s="61"/>
      <x:c r="Q215" s="61"/>
    </x:row>
    <x:row r="216" ht="20" customHeight="1">
      <x:c r="A216" s="52"/>
      <x:c r="B216" s="52"/>
      <x:c r="C216" s="81" t="str">
        <x:v>상근 인원 / 월 급여</x:v>
      </x:c>
      <x:c r="D216" s="81"/>
      <x:c r="E216" s="81"/>
      <x:c r="F216" s="81"/>
      <x:c r="G216" s="54" t="str">
        <x:v>01_가정!F60:H60 / F64:H64</x:v>
      </x:c>
      <x:c r="H216" s="54"/>
      <x:c r="I216" s="54"/>
      <x:c r="J216" s="54"/>
      <x:c r="K216" s="54"/>
      <x:c r="L216" s="54"/>
      <x:c r="M216" s="54"/>
      <x:c r="N216" s="61" t="str">
        <x:v>손익상 비용과 현금 부담에 반영</x:v>
      </x:c>
      <x:c r="O216" s="61"/>
      <x:c r="P216" s="61"/>
      <x:c r="Q216" s="61"/>
    </x:row>
    <x:row r="217" ht="20" customHeight="1">
      <x:c r="A217" s="52"/>
      <x:c r="B217" s="52"/>
      <x:c r="C217" s="81"/>
      <x:c r="D217" s="81"/>
      <x:c r="E217" s="81"/>
      <x:c r="F217" s="81"/>
      <x:c r="G217" s="54"/>
      <x:c r="H217" s="54"/>
      <x:c r="I217" s="54"/>
      <x:c r="J217" s="54"/>
      <x:c r="K217" s="54"/>
      <x:c r="L217" s="54"/>
      <x:c r="M217" s="54"/>
      <x:c r="N217" s="61"/>
      <x:c r="O217" s="61"/>
      <x:c r="P217" s="61"/>
      <x:c r="Q217" s="61"/>
    </x:row>
    <x:row r="218" ht="20" customHeight="1">
      <x:c r="A218" s="52"/>
      <x:c r="B218" s="52"/>
      <x:c r="C218" s="81" t="str">
        <x:v>시장 고객 수·적합도·도입률</x:v>
      </x:c>
      <x:c r="D218" s="81"/>
      <x:c r="E218" s="81"/>
      <x:c r="F218" s="81"/>
      <x:c r="G218" s="54" t="str">
        <x:v>01_가정!F110:F113</x:v>
      </x:c>
      <x:c r="H218" s="54"/>
      <x:c r="I218" s="54"/>
      <x:c r="J218" s="54"/>
      <x:c r="K218" s="54"/>
      <x:c r="L218" s="54"/>
      <x:c r="M218" s="54"/>
      <x:c r="N218" s="61" t="str">
        <x:v>별첨 시장규모 문안에 반영</x:v>
      </x:c>
      <x:c r="O218" s="61"/>
      <x:c r="P218" s="61"/>
      <x:c r="Q218" s="61"/>
    </x:row>
    <x:row r="219" ht="20" customHeight="1">
      <x:c r="A219" s="52"/>
      <x:c r="B219" s="52"/>
      <x:c r="C219" s="81"/>
      <x:c r="D219" s="81"/>
      <x:c r="E219" s="81"/>
      <x:c r="F219" s="81"/>
      <x:c r="G219" s="54"/>
      <x:c r="H219" s="54"/>
      <x:c r="I219" s="54"/>
      <x:c r="J219" s="54"/>
      <x:c r="K219" s="54"/>
      <x:c r="L219" s="54"/>
      <x:c r="M219" s="54"/>
      <x:c r="N219" s="61"/>
      <x:c r="O219" s="61"/>
      <x:c r="P219" s="61"/>
      <x:c r="Q219" s="61"/>
    </x:row>
    <x:row r="220" ht="20" customHeight="1">
      <x:c r="A220" s="52"/>
      <x:c r="B220" s="52"/>
      <x:c r="C220" s="52"/>
      <x:c r="D220" s="52"/>
      <x:c r="E220" s="52"/>
      <x:c r="F220" s="52"/>
      <x:c r="G220" s="52"/>
      <x:c r="H220" s="52"/>
      <x:c r="I220" s="52"/>
      <x:c r="J220" s="52"/>
      <x:c r="K220" s="52"/>
      <x:c r="L220" s="52"/>
      <x:c r="M220" s="52"/>
      <x:c r="N220" s="52"/>
      <x:c r="O220" s="52"/>
      <x:c r="P220" s="52"/>
      <x:c r="Q220" s="52"/>
    </x:row>
    <x:row r="221" ht="20" customHeight="1">
      <x:c r="A221" s="52"/>
      <x:c r="B221" s="52"/>
      <x:c r="C221" s="56" t="str">
        <x:v>보수·낙관 시나리오를 선택했다면 01_가정의 해당 시나리오 입력행을 수정하세요. 활성 가정행은 수식입니다. 제출 전 팀원·역할·효능 표현·시장 근거를 확인하고, 웹 양식에 붙여넣은 뒤 줄바꿈과 숫자를 다시 확인하세요.</x:v>
      </x:c>
      <x:c r="D221" s="56"/>
      <x:c r="E221" s="56"/>
      <x:c r="F221" s="56"/>
      <x:c r="G221" s="56"/>
      <x:c r="H221" s="56"/>
      <x:c r="I221" s="56"/>
      <x:c r="J221" s="56"/>
      <x:c r="K221" s="56"/>
      <x:c r="L221" s="56"/>
      <x:c r="M221" s="56"/>
      <x:c r="N221" s="56"/>
      <x:c r="O221" s="56"/>
      <x:c r="P221" s="56"/>
      <x:c r="Q221" s="56"/>
    </x:row>
    <x:row r="222" ht="20" customHeight="1">
      <x:c r="A222" s="52"/>
      <x:c r="B222" s="52"/>
      <x:c r="C222" s="56"/>
      <x:c r="D222" s="56"/>
      <x:c r="E222" s="56"/>
      <x:c r="F222" s="56"/>
      <x:c r="G222" s="56"/>
      <x:c r="H222" s="56"/>
      <x:c r="I222" s="56"/>
      <x:c r="J222" s="56"/>
      <x:c r="K222" s="56"/>
      <x:c r="L222" s="56"/>
      <x:c r="M222" s="56"/>
      <x:c r="N222" s="56"/>
      <x:c r="O222" s="56"/>
      <x:c r="P222" s="56"/>
      <x:c r="Q222" s="56"/>
    </x:row>
    <x:row r="223" ht="20" customHeight="1">
      <x:c r="A223" s="52"/>
      <x:c r="B223" s="52"/>
      <x:c r="C223" s="56"/>
      <x:c r="D223" s="56"/>
      <x:c r="E223" s="56"/>
      <x:c r="F223" s="56"/>
      <x:c r="G223" s="56"/>
      <x:c r="H223" s="56"/>
      <x:c r="I223" s="56"/>
      <x:c r="J223" s="56"/>
      <x:c r="K223" s="56"/>
      <x:c r="L223" s="56"/>
      <x:c r="M223" s="56"/>
      <x:c r="N223" s="56"/>
      <x:c r="O223" s="56"/>
      <x:c r="P223" s="56"/>
      <x:c r="Q223" s="56"/>
    </x:row>
    <x:row r="224" ht="20" customHeight="1">
      <x:c r="A224" s="52"/>
      <x:c r="B224" s="52"/>
      <x:c r="C224" s="52"/>
      <x:c r="D224" s="52"/>
      <x:c r="E224" s="52"/>
      <x:c r="F224" s="52"/>
      <x:c r="G224" s="52"/>
      <x:c r="H224" s="52"/>
      <x:c r="I224" s="52"/>
      <x:c r="J224" s="52"/>
      <x:c r="K224" s="52"/>
      <x:c r="L224" s="52"/>
      <x:c r="M224" s="52"/>
      <x:c r="N224" s="52"/>
      <x:c r="O224" s="52"/>
      <x:c r="P224" s="52"/>
      <x:c r="Q224" s="52"/>
    </x:row>
    <x:row r="225" ht="20" customHeight="1">
      <x:c r="A225" s="52"/>
      <x:c r="B225" s="52"/>
      <x:c r="C225" s="52"/>
      <x:c r="D225" s="52"/>
      <x:c r="E225" s="52"/>
      <x:c r="F225" s="52"/>
      <x:c r="G225" s="52"/>
      <x:c r="H225" s="52"/>
      <x:c r="I225" s="52"/>
      <x:c r="J225" s="52"/>
      <x:c r="K225" s="52"/>
      <x:c r="L225" s="52"/>
      <x:c r="M225" s="52"/>
      <x:c r="N225" s="52"/>
      <x:c r="O225" s="52"/>
      <x:c r="P225" s="52"/>
      <x:c r="Q225" s="52"/>
    </x:row>
    <x:row r="226" ht="20" customHeight="1">
      <x:c r="A226" s="52"/>
      <x:c r="B226" s="52"/>
      <x:c r="C226" s="52"/>
      <x:c r="D226" s="52"/>
      <x:c r="E226" s="52"/>
      <x:c r="F226" s="52"/>
      <x:c r="G226" s="52"/>
      <x:c r="H226" s="52"/>
      <x:c r="I226" s="52"/>
      <x:c r="J226" s="52"/>
      <x:c r="K226" s="52"/>
      <x:c r="L226" s="52"/>
      <x:c r="M226" s="52"/>
      <x:c r="N226" s="52"/>
      <x:c r="O226" s="52"/>
      <x:c r="P226" s="52"/>
      <x:c r="Q226" s="52"/>
    </x:row>
    <x:row r="227" ht="20" customHeight="1">
      <x:c r="A227" s="52"/>
      <x:c r="B227" s="52"/>
      <x:c r="C227" s="52"/>
      <x:c r="D227" s="52"/>
      <x:c r="E227" s="52"/>
      <x:c r="F227" s="52"/>
      <x:c r="G227" s="52"/>
      <x:c r="H227" s="52"/>
      <x:c r="I227" s="52"/>
      <x:c r="J227" s="52"/>
      <x:c r="K227" s="52"/>
      <x:c r="L227" s="52"/>
      <x:c r="M227" s="52"/>
      <x:c r="N227" s="52"/>
      <x:c r="O227" s="52"/>
      <x:c r="P227" s="52"/>
      <x:c r="Q227" s="52"/>
    </x:row>
    <x:row r="228" ht="20" customHeight="1">
      <x:c r="A228" s="52"/>
      <x:c r="B228" s="52"/>
      <x:c r="C228" s="52"/>
      <x:c r="D228" s="52"/>
      <x:c r="E228" s="52"/>
      <x:c r="F228" s="52"/>
      <x:c r="G228" s="52"/>
      <x:c r="H228" s="52"/>
      <x:c r="I228" s="52"/>
      <x:c r="J228" s="52"/>
      <x:c r="K228" s="52"/>
      <x:c r="L228" s="52"/>
      <x:c r="M228" s="52"/>
      <x:c r="N228" s="52"/>
      <x:c r="O228" s="52"/>
      <x:c r="P228" s="52"/>
      <x:c r="Q228" s="52"/>
    </x:row>
    <x:row r="229" ht="20" customHeight="1">
      <x:c r="A229" s="52"/>
      <x:c r="B229" s="52"/>
      <x:c r="C229" s="52"/>
      <x:c r="D229" s="52"/>
      <x:c r="E229" s="52"/>
      <x:c r="F229" s="52"/>
      <x:c r="G229" s="52"/>
      <x:c r="H229" s="52"/>
      <x:c r="I229" s="52"/>
      <x:c r="J229" s="52"/>
      <x:c r="K229" s="52"/>
      <x:c r="L229" s="52"/>
      <x:c r="M229" s="52"/>
      <x:c r="N229" s="52"/>
      <x:c r="O229" s="52"/>
      <x:c r="P229" s="52"/>
      <x:c r="Q229" s="52"/>
    </x:row>
    <x:row r="230" ht="20" customHeight="1">
      <x:c r="A230" s="52"/>
      <x:c r="B230" s="52"/>
      <x:c r="C230" s="52"/>
      <x:c r="D230" s="52"/>
      <x:c r="E230" s="52"/>
      <x:c r="F230" s="52"/>
      <x:c r="G230" s="52"/>
      <x:c r="H230" s="52"/>
      <x:c r="I230" s="52"/>
      <x:c r="J230" s="52"/>
      <x:c r="K230" s="52"/>
      <x:c r="L230" s="52"/>
      <x:c r="M230" s="52"/>
      <x:c r="N230" s="52"/>
      <x:c r="O230" s="52"/>
      <x:c r="P230" s="52"/>
      <x:c r="Q230" s="52"/>
    </x:row>
    <x:row r="231" ht="20" customHeight="1">
      <x:c r="A231" s="52"/>
      <x:c r="B231" s="52"/>
      <x:c r="C231" s="52"/>
      <x:c r="D231" s="52"/>
      <x:c r="E231" s="52"/>
      <x:c r="F231" s="52"/>
      <x:c r="G231" s="52"/>
      <x:c r="H231" s="52"/>
      <x:c r="I231" s="52"/>
      <x:c r="J231" s="52"/>
      <x:c r="K231" s="52"/>
      <x:c r="L231" s="52"/>
      <x:c r="M231" s="52"/>
      <x:c r="N231" s="52"/>
      <x:c r="O231" s="52"/>
      <x:c r="P231" s="52"/>
      <x:c r="Q231" s="52"/>
    </x:row>
    <x:row r="232" ht="20" customHeight="1">
      <x:c r="A232" s="52"/>
      <x:c r="B232" s="52"/>
      <x:c r="C232" s="52"/>
      <x:c r="D232" s="52"/>
      <x:c r="E232" s="52"/>
      <x:c r="F232" s="52"/>
      <x:c r="G232" s="52"/>
      <x:c r="H232" s="52"/>
      <x:c r="I232" s="52"/>
      <x:c r="J232" s="52"/>
      <x:c r="K232" s="52"/>
      <x:c r="L232" s="52"/>
      <x:c r="M232" s="52"/>
      <x:c r="N232" s="52"/>
      <x:c r="O232" s="52"/>
      <x:c r="P232" s="52"/>
      <x:c r="Q232" s="52"/>
    </x:row>
    <x:row r="233" ht="20" customHeight="1">
      <x:c r="A233" s="52"/>
      <x:c r="B233" s="52"/>
      <x:c r="C233" s="52"/>
      <x:c r="D233" s="52"/>
      <x:c r="E233" s="52"/>
      <x:c r="F233" s="52"/>
      <x:c r="G233" s="52"/>
      <x:c r="H233" s="52"/>
      <x:c r="I233" s="52"/>
      <x:c r="J233" s="52"/>
      <x:c r="K233" s="52"/>
      <x:c r="L233" s="52"/>
      <x:c r="M233" s="52"/>
      <x:c r="N233" s="52"/>
      <x:c r="O233" s="52"/>
      <x:c r="P233" s="52"/>
      <x:c r="Q233" s="52"/>
    </x:row>
    <x:row r="234" ht="20" customHeight="1">
      <x:c r="A234" s="52"/>
      <x:c r="B234" s="52"/>
      <x:c r="C234" s="52"/>
      <x:c r="D234" s="52"/>
      <x:c r="E234" s="52"/>
      <x:c r="F234" s="52"/>
      <x:c r="G234" s="52"/>
      <x:c r="H234" s="52"/>
      <x:c r="I234" s="52"/>
      <x:c r="J234" s="52"/>
      <x:c r="K234" s="52"/>
      <x:c r="L234" s="52"/>
      <x:c r="M234" s="52"/>
      <x:c r="N234" s="52"/>
      <x:c r="O234" s="52"/>
      <x:c r="P234" s="52"/>
      <x:c r="Q234" s="52"/>
    </x:row>
    <x:row r="235" ht="20" customHeight="1">
      <x:c r="A235" s="52"/>
      <x:c r="B235" s="52"/>
      <x:c r="C235" s="52"/>
      <x:c r="D235" s="52"/>
      <x:c r="E235" s="52"/>
      <x:c r="F235" s="52"/>
      <x:c r="G235" s="52"/>
      <x:c r="H235" s="52"/>
      <x:c r="I235" s="52"/>
      <x:c r="J235" s="52"/>
      <x:c r="K235" s="52"/>
      <x:c r="L235" s="52"/>
      <x:c r="M235" s="52"/>
      <x:c r="N235" s="52"/>
      <x:c r="O235" s="52"/>
      <x:c r="P235" s="52"/>
      <x:c r="Q235" s="52"/>
    </x:row>
    <x:row r="236" ht="20" customHeight="1">
      <x:c r="A236" s="52"/>
      <x:c r="B236" s="52"/>
      <x:c r="C236" s="52"/>
      <x:c r="D236" s="52"/>
      <x:c r="E236" s="52"/>
      <x:c r="F236" s="52"/>
      <x:c r="G236" s="52"/>
      <x:c r="H236" s="52"/>
      <x:c r="I236" s="52"/>
      <x:c r="J236" s="52"/>
      <x:c r="K236" s="52"/>
      <x:c r="L236" s="52"/>
      <x:c r="M236" s="52"/>
      <x:c r="N236" s="52"/>
      <x:c r="O236" s="52"/>
      <x:c r="P236" s="52"/>
      <x:c r="Q236" s="52"/>
    </x:row>
    <x:row r="237" ht="20" customHeight="1">
      <x:c r="A237" s="52"/>
      <x:c r="B237" s="52"/>
      <x:c r="C237" s="52"/>
      <x:c r="D237" s="52"/>
      <x:c r="E237" s="52"/>
      <x:c r="F237" s="52"/>
      <x:c r="G237" s="52"/>
      <x:c r="H237" s="52"/>
      <x:c r="I237" s="52"/>
      <x:c r="J237" s="52"/>
      <x:c r="K237" s="52"/>
      <x:c r="L237" s="52"/>
      <x:c r="M237" s="52"/>
      <x:c r="N237" s="52"/>
      <x:c r="O237" s="52"/>
      <x:c r="P237" s="52"/>
      <x:c r="Q237" s="52"/>
    </x:row>
    <x:row r="238" ht="20" customHeight="1">
      <x:c r="A238" s="52"/>
      <x:c r="B238" s="52"/>
      <x:c r="C238" s="52"/>
      <x:c r="D238" s="52"/>
      <x:c r="E238" s="52"/>
      <x:c r="F238" s="52"/>
      <x:c r="G238" s="52"/>
      <x:c r="H238" s="52"/>
      <x:c r="I238" s="52"/>
      <x:c r="J238" s="52"/>
      <x:c r="K238" s="52"/>
      <x:c r="L238" s="52"/>
      <x:c r="M238" s="52"/>
      <x:c r="N238" s="52"/>
      <x:c r="O238" s="52"/>
      <x:c r="P238" s="52"/>
      <x:c r="Q238" s="52"/>
    </x:row>
    <x:row r="239" ht="20" customHeight="1">
      <x:c r="A239" s="52"/>
      <x:c r="B239" s="52"/>
      <x:c r="C239" s="52"/>
      <x:c r="D239" s="52"/>
      <x:c r="E239" s="52"/>
      <x:c r="F239" s="52"/>
      <x:c r="G239" s="52"/>
      <x:c r="H239" s="52"/>
      <x:c r="I239" s="52"/>
      <x:c r="J239" s="52"/>
      <x:c r="K239" s="52"/>
      <x:c r="L239" s="52"/>
      <x:c r="M239" s="52"/>
      <x:c r="N239" s="52"/>
      <x:c r="O239" s="52"/>
      <x:c r="P239" s="52"/>
      <x:c r="Q239" s="52"/>
    </x:row>
    <x:row r="240" ht="20" customHeight="1">
      <x:c r="A240" s="52"/>
      <x:c r="B240" s="52"/>
      <x:c r="C240" s="52"/>
      <x:c r="D240" s="52"/>
      <x:c r="E240" s="52"/>
      <x:c r="F240" s="52"/>
      <x:c r="G240" s="52"/>
      <x:c r="H240" s="52"/>
      <x:c r="I240" s="52"/>
      <x:c r="J240" s="52"/>
      <x:c r="K240" s="52"/>
      <x:c r="L240" s="52"/>
      <x:c r="M240" s="52"/>
      <x:c r="N240" s="52"/>
      <x:c r="O240" s="52"/>
      <x:c r="P240" s="52"/>
      <x:c r="Q240" s="52"/>
    </x:row>
    <x:row r="241" ht="20" customHeight="1">
      <x:c r="A241" s="52"/>
      <x:c r="B241" s="52"/>
      <x:c r="C241" s="52"/>
      <x:c r="D241" s="52"/>
      <x:c r="E241" s="52"/>
      <x:c r="F241" s="52"/>
      <x:c r="G241" s="52"/>
      <x:c r="H241" s="52"/>
      <x:c r="I241" s="52"/>
      <x:c r="J241" s="52"/>
      <x:c r="K241" s="52"/>
      <x:c r="L241" s="52"/>
      <x:c r="M241" s="52"/>
      <x:c r="N241" s="52"/>
      <x:c r="O241" s="52"/>
      <x:c r="P241" s="52"/>
      <x:c r="Q241" s="52"/>
    </x:row>
    <x:row r="242" ht="20" customHeight="1">
      <x:c r="A242" s="52"/>
      <x:c r="B242" s="52"/>
      <x:c r="C242" s="52"/>
      <x:c r="D242" s="52"/>
      <x:c r="E242" s="52"/>
      <x:c r="F242" s="52"/>
      <x:c r="G242" s="52"/>
      <x:c r="H242" s="52"/>
      <x:c r="I242" s="52"/>
      <x:c r="J242" s="52"/>
      <x:c r="K242" s="52"/>
      <x:c r="L242" s="52"/>
      <x:c r="M242" s="52"/>
      <x:c r="N242" s="52"/>
      <x:c r="O242" s="52"/>
      <x:c r="P242" s="52"/>
      <x:c r="Q242" s="52"/>
    </x:row>
    <x:row r="243" ht="20" customHeight="1">
      <x:c r="A243" s="52"/>
      <x:c r="B243" s="52"/>
      <x:c r="C243" s="52"/>
      <x:c r="D243" s="52"/>
      <x:c r="E243" s="52"/>
      <x:c r="F243" s="52"/>
      <x:c r="G243" s="52"/>
      <x:c r="H243" s="52"/>
      <x:c r="I243" s="52"/>
      <x:c r="J243" s="52"/>
      <x:c r="K243" s="52"/>
      <x:c r="L243" s="52"/>
      <x:c r="M243" s="52"/>
      <x:c r="N243" s="52"/>
      <x:c r="O243" s="52"/>
      <x:c r="P243" s="52"/>
      <x:c r="Q243" s="52"/>
    </x:row>
    <x:row r="244" ht="20" customHeight="1">
      <x:c r="A244" s="52"/>
      <x:c r="B244" s="52"/>
      <x:c r="C244" s="52"/>
      <x:c r="D244" s="52"/>
      <x:c r="E244" s="52"/>
      <x:c r="F244" s="52"/>
      <x:c r="G244" s="52"/>
      <x:c r="H244" s="52"/>
      <x:c r="I244" s="52"/>
      <x:c r="J244" s="52"/>
      <x:c r="K244" s="52"/>
      <x:c r="L244" s="52"/>
      <x:c r="M244" s="52"/>
      <x:c r="N244" s="52"/>
      <x:c r="O244" s="52"/>
      <x:c r="P244" s="52"/>
      <x:c r="Q244" s="52"/>
    </x:row>
    <x:row r="245" ht="20" customHeight="1">
      <x:c r="A245" s="52"/>
      <x:c r="B245" s="52"/>
      <x:c r="C245" s="52"/>
      <x:c r="D245" s="52"/>
      <x:c r="E245" s="52"/>
      <x:c r="F245" s="52"/>
      <x:c r="G245" s="52"/>
      <x:c r="H245" s="52"/>
      <x:c r="I245" s="52"/>
      <x:c r="J245" s="52"/>
      <x:c r="K245" s="52"/>
      <x:c r="L245" s="52"/>
      <x:c r="M245" s="52"/>
      <x:c r="N245" s="52"/>
      <x:c r="O245" s="52"/>
      <x:c r="P245" s="52"/>
      <x:c r="Q245" s="52"/>
    </x:row>
    <x:row r="246" ht="20" customHeight="1">
      <x:c r="A246" s="52"/>
      <x:c r="B246" s="52"/>
      <x:c r="C246" s="52"/>
      <x:c r="D246" s="52"/>
      <x:c r="E246" s="52"/>
      <x:c r="F246" s="52"/>
      <x:c r="G246" s="52"/>
      <x:c r="H246" s="52"/>
      <x:c r="I246" s="52"/>
      <x:c r="J246" s="52"/>
      <x:c r="K246" s="52"/>
      <x:c r="L246" s="52"/>
      <x:c r="M246" s="52"/>
      <x:c r="N246" s="52"/>
      <x:c r="O246" s="52"/>
      <x:c r="P246" s="52"/>
      <x:c r="Q246" s="52"/>
    </x:row>
    <x:row r="247" ht="20" customHeight="1">
      <x:c r="A247" s="52"/>
      <x:c r="B247" s="52"/>
      <x:c r="C247" s="52"/>
      <x:c r="D247" s="52"/>
      <x:c r="E247" s="52"/>
      <x:c r="F247" s="52"/>
      <x:c r="G247" s="52"/>
      <x:c r="H247" s="52"/>
      <x:c r="I247" s="52"/>
      <x:c r="J247" s="52"/>
      <x:c r="K247" s="52"/>
      <x:c r="L247" s="52"/>
      <x:c r="M247" s="52"/>
      <x:c r="N247" s="52"/>
      <x:c r="O247" s="52"/>
      <x:c r="P247" s="52"/>
      <x:c r="Q247" s="52"/>
    </x:row>
    <x:row r="248" ht="20" customHeight="1">
      <x:c r="A248" s="52"/>
      <x:c r="B248" s="52"/>
      <x:c r="C248" s="52"/>
      <x:c r="D248" s="52"/>
      <x:c r="E248" s="52"/>
      <x:c r="F248" s="52"/>
      <x:c r="G248" s="52"/>
      <x:c r="H248" s="52"/>
      <x:c r="I248" s="52"/>
      <x:c r="J248" s="52"/>
      <x:c r="K248" s="52"/>
      <x:c r="L248" s="52"/>
      <x:c r="M248" s="52"/>
      <x:c r="N248" s="52"/>
      <x:c r="O248" s="52"/>
      <x:c r="P248" s="52"/>
      <x:c r="Q248" s="52"/>
    </x:row>
    <x:row r="249" ht="20" customHeight="1">
      <x:c r="A249" s="52"/>
      <x:c r="B249" s="52"/>
      <x:c r="C249" s="52"/>
      <x:c r="D249" s="52"/>
      <x:c r="E249" s="52"/>
      <x:c r="F249" s="52"/>
      <x:c r="G249" s="52"/>
      <x:c r="H249" s="52"/>
      <x:c r="I249" s="52"/>
      <x:c r="J249" s="52"/>
      <x:c r="K249" s="52"/>
      <x:c r="L249" s="52"/>
      <x:c r="M249" s="52"/>
      <x:c r="N249" s="52"/>
      <x:c r="O249" s="52"/>
      <x:c r="P249" s="52"/>
      <x:c r="Q249" s="52"/>
    </x:row>
    <x:row r="250" ht="20" customHeight="1">
      <x:c r="A250" s="52"/>
      <x:c r="B250" s="52"/>
      <x:c r="C250" s="52"/>
      <x:c r="D250" s="52"/>
      <x:c r="E250" s="52"/>
      <x:c r="F250" s="52"/>
      <x:c r="G250" s="52"/>
      <x:c r="H250" s="52"/>
      <x:c r="I250" s="52"/>
      <x:c r="J250" s="52"/>
      <x:c r="K250" s="52"/>
      <x:c r="L250" s="52"/>
      <x:c r="M250" s="52"/>
      <x:c r="N250" s="52"/>
      <x:c r="O250" s="52"/>
      <x:c r="P250" s="52"/>
      <x:c r="Q250" s="52"/>
    </x:row>
    <x:row r="251" ht="20" customHeight="1">
      <x:c r="A251" s="52"/>
      <x:c r="B251" s="52"/>
      <x:c r="C251" s="52"/>
      <x:c r="D251" s="52"/>
      <x:c r="E251" s="52"/>
      <x:c r="F251" s="52"/>
      <x:c r="G251" s="52"/>
      <x:c r="H251" s="52"/>
      <x:c r="I251" s="52"/>
      <x:c r="J251" s="52"/>
      <x:c r="K251" s="52"/>
      <x:c r="L251" s="52"/>
      <x:c r="M251" s="52"/>
      <x:c r="N251" s="52"/>
      <x:c r="O251" s="52"/>
      <x:c r="P251" s="52"/>
      <x:c r="Q251" s="52"/>
    </x:row>
    <x:row r="252" ht="20" customHeight="1">
      <x:c r="A252" s="52"/>
      <x:c r="B252" s="52"/>
      <x:c r="C252" s="52"/>
      <x:c r="D252" s="52"/>
      <x:c r="E252" s="52"/>
      <x:c r="F252" s="52"/>
      <x:c r="G252" s="52"/>
      <x:c r="H252" s="52"/>
      <x:c r="I252" s="52"/>
      <x:c r="J252" s="52"/>
      <x:c r="K252" s="52"/>
      <x:c r="L252" s="52"/>
      <x:c r="M252" s="52"/>
      <x:c r="N252" s="52"/>
      <x:c r="O252" s="52"/>
      <x:c r="P252" s="52"/>
      <x:c r="Q252" s="52"/>
    </x:row>
    <x:row r="253" ht="20" customHeight="1">
      <x:c r="A253" s="52"/>
      <x:c r="B253" s="52"/>
      <x:c r="C253" s="52"/>
      <x:c r="D253" s="52"/>
      <x:c r="E253" s="52"/>
      <x:c r="F253" s="52"/>
      <x:c r="G253" s="52"/>
      <x:c r="H253" s="52"/>
      <x:c r="I253" s="52"/>
      <x:c r="J253" s="52"/>
      <x:c r="K253" s="52"/>
      <x:c r="L253" s="52"/>
      <x:c r="M253" s="52"/>
      <x:c r="N253" s="52"/>
      <x:c r="O253" s="52"/>
      <x:c r="P253" s="52"/>
      <x:c r="Q253" s="52"/>
    </x:row>
    <x:row r="254" ht="20" customHeight="1">
      <x:c r="A254" s="52"/>
      <x:c r="B254" s="52"/>
      <x:c r="C254" s="52"/>
      <x:c r="D254" s="52"/>
      <x:c r="E254" s="52"/>
      <x:c r="F254" s="52"/>
      <x:c r="G254" s="52"/>
      <x:c r="H254" s="52"/>
      <x:c r="I254" s="52"/>
      <x:c r="J254" s="52"/>
      <x:c r="K254" s="52"/>
      <x:c r="L254" s="52"/>
      <x:c r="M254" s="52"/>
      <x:c r="N254" s="52"/>
      <x:c r="O254" s="52"/>
      <x:c r="P254" s="52"/>
      <x:c r="Q254" s="52"/>
    </x:row>
    <x:row r="255" ht="20" customHeight="1">
      <x:c r="A255" s="52"/>
      <x:c r="B255" s="52"/>
      <x:c r="C255" s="52"/>
      <x:c r="D255" s="52"/>
      <x:c r="E255" s="52"/>
      <x:c r="F255" s="52"/>
      <x:c r="G255" s="52"/>
      <x:c r="H255" s="52"/>
      <x:c r="I255" s="52"/>
      <x:c r="J255" s="52"/>
      <x:c r="K255" s="52"/>
      <x:c r="L255" s="52"/>
      <x:c r="M255" s="52"/>
      <x:c r="N255" s="52"/>
      <x:c r="O255" s="52"/>
      <x:c r="P255" s="52"/>
      <x:c r="Q255" s="52"/>
    </x:row>
    <x:row r="256" ht="20" customHeight="1">
      <x:c r="A256" s="52"/>
      <x:c r="B256" s="52"/>
      <x:c r="C256" s="52"/>
      <x:c r="D256" s="52"/>
      <x:c r="E256" s="52"/>
      <x:c r="F256" s="52"/>
      <x:c r="G256" s="52"/>
      <x:c r="H256" s="52"/>
      <x:c r="I256" s="52"/>
      <x:c r="J256" s="52"/>
      <x:c r="K256" s="52"/>
      <x:c r="L256" s="52"/>
      <x:c r="M256" s="52"/>
      <x:c r="N256" s="52"/>
      <x:c r="O256" s="52"/>
      <x:c r="P256" s="52"/>
      <x:c r="Q256" s="52"/>
    </x:row>
    <x:row r="257" ht="20" customHeight="1">
      <x:c r="A257" s="52"/>
      <x:c r="B257" s="52"/>
      <x:c r="C257" s="52"/>
      <x:c r="D257" s="52"/>
      <x:c r="E257" s="52"/>
      <x:c r="F257" s="52"/>
      <x:c r="G257" s="52"/>
      <x:c r="H257" s="52"/>
      <x:c r="I257" s="52"/>
      <x:c r="J257" s="52"/>
      <x:c r="K257" s="52"/>
      <x:c r="L257" s="52"/>
      <x:c r="M257" s="52"/>
      <x:c r="N257" s="52"/>
      <x:c r="O257" s="52"/>
      <x:c r="P257" s="52"/>
      <x:c r="Q257" s="52"/>
    </x:row>
    <x:row r="258" ht="20" customHeight="1">
      <x:c r="A258" s="52"/>
      <x:c r="B258" s="52"/>
      <x:c r="C258" s="52"/>
      <x:c r="D258" s="52"/>
      <x:c r="E258" s="52"/>
      <x:c r="F258" s="52"/>
      <x:c r="G258" s="52"/>
      <x:c r="H258" s="52"/>
      <x:c r="I258" s="52"/>
      <x:c r="J258" s="52"/>
      <x:c r="K258" s="52"/>
      <x:c r="L258" s="52"/>
      <x:c r="M258" s="52"/>
      <x:c r="N258" s="52"/>
      <x:c r="O258" s="52"/>
      <x:c r="P258" s="52"/>
      <x:c r="Q258" s="52"/>
    </x:row>
    <x:row r="259" ht="20" customHeight="1">
      <x:c r="A259" s="52"/>
      <x:c r="B259" s="52"/>
      <x:c r="C259" s="52"/>
      <x:c r="D259" s="52"/>
      <x:c r="E259" s="52"/>
      <x:c r="F259" s="52"/>
      <x:c r="G259" s="52"/>
      <x:c r="H259" s="52"/>
      <x:c r="I259" s="52"/>
      <x:c r="J259" s="52"/>
      <x:c r="K259" s="52"/>
      <x:c r="L259" s="52"/>
      <x:c r="M259" s="52"/>
      <x:c r="N259" s="52"/>
      <x:c r="O259" s="52"/>
      <x:c r="P259" s="52"/>
      <x:c r="Q259" s="52"/>
    </x:row>
    <x:row r="260" ht="20" customHeight="1">
      <x:c r="A260" s="52"/>
      <x:c r="B260" s="52"/>
      <x:c r="C260" s="52"/>
      <x:c r="D260" s="52"/>
      <x:c r="E260" s="52"/>
      <x:c r="F260" s="52"/>
      <x:c r="G260" s="52"/>
      <x:c r="H260" s="52"/>
      <x:c r="I260" s="52"/>
      <x:c r="J260" s="52"/>
      <x:c r="K260" s="52"/>
      <x:c r="L260" s="52"/>
      <x:c r="M260" s="52"/>
      <x:c r="N260" s="52"/>
      <x:c r="O260" s="52"/>
      <x:c r="P260" s="52"/>
      <x:c r="Q260" s="52"/>
    </x:row>
  </x:sheetData>
  <x:mergeCells>
    <x:mergeCell ref="C2:Q2"/>
    <x:mergeCell ref="C3:Q3"/>
    <x:mergeCell ref="C4:F4"/>
    <x:mergeCell ref="G4:I4"/>
    <x:mergeCell ref="K4:Q4"/>
    <x:mergeCell ref="C6:E6"/>
    <x:mergeCell ref="F6:I6"/>
    <x:mergeCell ref="K6:M6"/>
    <x:mergeCell ref="N6:Q6"/>
    <x:mergeCell ref="C7:E7"/>
    <x:mergeCell ref="F7:Q7"/>
    <x:mergeCell ref="C9:E9"/>
    <x:mergeCell ref="F9:H9"/>
    <x:mergeCell ref="I9:Q9"/>
    <x:mergeCell ref="C10:E10"/>
    <x:mergeCell ref="F10:H10"/>
    <x:mergeCell ref="I10:Q10"/>
    <x:mergeCell ref="C11:E11"/>
    <x:mergeCell ref="F11:H11"/>
    <x:mergeCell ref="I11:Q11"/>
    <x:mergeCell ref="C12:Q13"/>
    <x:mergeCell ref="C15:Q15"/>
    <x:mergeCell ref="C16:F16"/>
    <x:mergeCell ref="G16:I16"/>
    <x:mergeCell ref="K16:M16"/>
    <x:mergeCell ref="N16:Q16"/>
    <x:mergeCell ref="C17:F17"/>
    <x:mergeCell ref="G17:I17"/>
    <x:mergeCell ref="K17:M17"/>
    <x:mergeCell ref="N17:Q17"/>
    <x:mergeCell ref="C18:F18"/>
    <x:mergeCell ref="G18:I18"/>
    <x:mergeCell ref="K18:M18"/>
    <x:mergeCell ref="N18:Q18"/>
    <x:mergeCell ref="C19:F19"/>
    <x:mergeCell ref="G19:I19"/>
    <x:mergeCell ref="K19:M19"/>
    <x:mergeCell ref="N19:Q19"/>
    <x:mergeCell ref="C20:F20"/>
    <x:mergeCell ref="G20:I20"/>
    <x:mergeCell ref="K20:M20"/>
    <x:mergeCell ref="N20:Q20"/>
    <x:mergeCell ref="C21:F21"/>
    <x:mergeCell ref="G21:I21"/>
    <x:mergeCell ref="K21:M21"/>
    <x:mergeCell ref="N21:Q21"/>
    <x:mergeCell ref="C23:Q24"/>
    <x:mergeCell ref="C25:Q26"/>
    <x:mergeCell ref="C28:Q28"/>
    <x:mergeCell ref="C29:I29"/>
    <x:mergeCell ref="K29:Q29"/>
    <x:mergeCell ref="C30:I37"/>
    <x:mergeCell ref="K30:Q37"/>
    <x:mergeCell ref="C38:Q39"/>
    <x:mergeCell ref="C41:Q41"/>
    <x:mergeCell ref="C42:I42"/>
    <x:mergeCell ref="K42:Q42"/>
    <x:mergeCell ref="C43:I49"/>
    <x:mergeCell ref="K43:Q49"/>
    <x:mergeCell ref="C50:Q51"/>
    <x:mergeCell ref="C53:Q53"/>
    <x:mergeCell ref="C54:I54"/>
    <x:mergeCell ref="K54:Q54"/>
    <x:mergeCell ref="C55:I61"/>
    <x:mergeCell ref="K55:Q61"/>
    <x:mergeCell ref="C62:Q63"/>
    <x:mergeCell ref="C65:Q65"/>
    <x:mergeCell ref="C66:I66"/>
    <x:mergeCell ref="K66:Q66"/>
    <x:mergeCell ref="C67:I74"/>
    <x:mergeCell ref="K67:Q74"/>
    <x:mergeCell ref="C75:Q76"/>
    <x:mergeCell ref="C78:Q78"/>
    <x:mergeCell ref="C79:I79"/>
    <x:mergeCell ref="K79:Q79"/>
    <x:mergeCell ref="C80:I86"/>
    <x:mergeCell ref="K80:Q86"/>
    <x:mergeCell ref="C87:Q88"/>
    <x:mergeCell ref="C90:Q90"/>
    <x:mergeCell ref="C91:I91"/>
    <x:mergeCell ref="K91:Q91"/>
    <x:mergeCell ref="C92:I102"/>
    <x:mergeCell ref="K92:Q102"/>
    <x:mergeCell ref="C103:Q104"/>
    <x:mergeCell ref="C106:Q106"/>
    <x:mergeCell ref="C107:I107"/>
    <x:mergeCell ref="K107:Q107"/>
    <x:mergeCell ref="C108:I121"/>
    <x:mergeCell ref="K108:Q121"/>
    <x:mergeCell ref="C122:Q123"/>
    <x:mergeCell ref="C125:Q125"/>
    <x:mergeCell ref="C126:I126"/>
    <x:mergeCell ref="K126:Q126"/>
    <x:mergeCell ref="C127:I134"/>
    <x:mergeCell ref="K127:Q134"/>
    <x:mergeCell ref="C135:Q136"/>
    <x:mergeCell ref="C138:Q138"/>
    <x:mergeCell ref="C139:I139"/>
    <x:mergeCell ref="K139:Q139"/>
    <x:mergeCell ref="C140:I152"/>
    <x:mergeCell ref="K140:Q152"/>
    <x:mergeCell ref="C153:Q154"/>
    <x:mergeCell ref="C156:Q156"/>
    <x:mergeCell ref="C157:I157"/>
    <x:mergeCell ref="K157:Q157"/>
    <x:mergeCell ref="C158:I162"/>
    <x:mergeCell ref="K158:Q162"/>
    <x:mergeCell ref="C163:Q164"/>
    <x:mergeCell ref="C166:Q166"/>
    <x:mergeCell ref="C167:I167"/>
    <x:mergeCell ref="K167:Q167"/>
    <x:mergeCell ref="C168:I173"/>
    <x:mergeCell ref="K168:Q173"/>
    <x:mergeCell ref="C174:Q175"/>
    <x:mergeCell ref="C177:Q177"/>
    <x:mergeCell ref="C178:I178"/>
    <x:mergeCell ref="K178:Q178"/>
    <x:mergeCell ref="C179:I190"/>
    <x:mergeCell ref="K179:Q190"/>
    <x:mergeCell ref="C191:Q192"/>
    <x:mergeCell ref="C194:Q194"/>
    <x:mergeCell ref="C195:I195"/>
    <x:mergeCell ref="K195:Q195"/>
    <x:mergeCell ref="C196:I203"/>
    <x:mergeCell ref="K196:Q203"/>
    <x:mergeCell ref="C204:Q205"/>
    <x:mergeCell ref="C207:Q207"/>
    <x:mergeCell ref="C208:F209"/>
    <x:mergeCell ref="G208:M209"/>
    <x:mergeCell ref="N208:Q209"/>
    <x:mergeCell ref="C210:F211"/>
    <x:mergeCell ref="G210:M211"/>
    <x:mergeCell ref="N210:Q211"/>
    <x:mergeCell ref="C212:F213"/>
    <x:mergeCell ref="G212:M213"/>
    <x:mergeCell ref="N212:Q213"/>
    <x:mergeCell ref="C214:F215"/>
    <x:mergeCell ref="G214:M215"/>
    <x:mergeCell ref="N214:Q215"/>
    <x:mergeCell ref="C216:F217"/>
    <x:mergeCell ref="G216:M217"/>
    <x:mergeCell ref="N216:Q217"/>
    <x:mergeCell ref="C218:F219"/>
    <x:mergeCell ref="G218:M219"/>
    <x:mergeCell ref="N218:Q219"/>
    <x:mergeCell ref="C221:Q223"/>
  </x:mergeCells>
  <x:pageMargins left="0.7" right="0.7" top="0.75" bottom="0.75" header="0.3" footer="0.3"/>
</x:worksheet>
</file>