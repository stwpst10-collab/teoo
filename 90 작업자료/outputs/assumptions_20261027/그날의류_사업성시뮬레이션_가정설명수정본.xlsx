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wp1\Desktop\회사\사내벤처\venture\90 작업자료\outputs\assumptions_20261027\"/>
    </mc:Choice>
  </mc:AlternateContent>
  <bookViews>
    <workbookView minimized="1" xWindow="0" yWindow="0" windowWidth="23040" windowHeight="8472" firstSheet="4" activeTab="6"/>
  </bookViews>
  <sheets>
    <sheet name="00_투자판단" sheetId="1" r:id="rId1"/>
    <sheet name="01_가정" sheetId="2" r:id="rId2"/>
    <sheet name="02_단위경제" sheetId="3" r:id="rId3"/>
    <sheet name="03_월별손익" sheetId="4" r:id="rId4"/>
    <sheet name="04_재고현금" sheetId="5" r:id="rId5"/>
    <sheet name="05_100일검증" sheetId="6" r:id="rId6"/>
    <sheet name="06_시장경쟁" sheetId="7" r:id="rId7"/>
    <sheet name="07_근거원문" sheetId="8" r:id="rId8"/>
    <sheet name="08_실측입력" sheetId="9" r:id="rId9"/>
    <sheet name="09_계산검증" sheetId="10" r:id="rId10"/>
    <sheet name="10_린캔버스작성" sheetId="11" r:id="rId11"/>
  </sheets>
  <calcPr calcId="162913"/>
</workbook>
</file>

<file path=xl/calcChain.xml><?xml version="1.0" encoding="utf-8"?>
<calcChain xmlns="http://schemas.openxmlformats.org/spreadsheetml/2006/main">
  <c r="K196" i="11" l="1"/>
  <c r="K168" i="11"/>
  <c r="K158" i="11"/>
  <c r="K127" i="11"/>
  <c r="K80" i="11"/>
  <c r="K67" i="11"/>
  <c r="K55" i="11"/>
  <c r="K43" i="11"/>
  <c r="K30" i="11"/>
  <c r="F21" i="10"/>
  <c r="F19" i="10"/>
  <c r="F18" i="10"/>
  <c r="F32" i="9"/>
  <c r="F29" i="9"/>
  <c r="F28" i="9"/>
  <c r="F27" i="9"/>
  <c r="F26" i="9"/>
  <c r="F25" i="9"/>
  <c r="F24" i="9"/>
  <c r="E59" i="8"/>
  <c r="F30" i="7"/>
  <c r="F26" i="7"/>
  <c r="F25" i="7"/>
  <c r="F27" i="7" s="1"/>
  <c r="F24" i="7"/>
  <c r="F46" i="6"/>
  <c r="F48" i="6" s="1"/>
  <c r="H19" i="6"/>
  <c r="G19" i="6"/>
  <c r="H17" i="6"/>
  <c r="F17" i="6"/>
  <c r="H16" i="6"/>
  <c r="F16" i="6"/>
  <c r="H15" i="6"/>
  <c r="F15" i="6"/>
  <c r="H14" i="6"/>
  <c r="F14" i="6"/>
  <c r="H13" i="6"/>
  <c r="F13" i="6"/>
  <c r="H12" i="6"/>
  <c r="F12" i="6"/>
  <c r="H11" i="6"/>
  <c r="F11" i="6"/>
  <c r="H10" i="6"/>
  <c r="F10" i="6"/>
  <c r="H9" i="6"/>
  <c r="F9" i="6"/>
  <c r="H8" i="6"/>
  <c r="F8" i="6"/>
  <c r="J42" i="5"/>
  <c r="AS41" i="5"/>
  <c r="AR41" i="5"/>
  <c r="AQ41" i="5"/>
  <c r="AP41" i="5"/>
  <c r="AO41" i="5"/>
  <c r="AN41" i="5"/>
  <c r="AM41" i="5"/>
  <c r="AL41" i="5"/>
  <c r="AK41" i="5"/>
  <c r="AJ41" i="5"/>
  <c r="AI41" i="5"/>
  <c r="AH41" i="5"/>
  <c r="AG41" i="5"/>
  <c r="AF41" i="5"/>
  <c r="AE41" i="5"/>
  <c r="AD41" i="5"/>
  <c r="AC41" i="5"/>
  <c r="AB41" i="5"/>
  <c r="AA41" i="5"/>
  <c r="Z41" i="5"/>
  <c r="Y41" i="5"/>
  <c r="X41" i="5"/>
  <c r="W41" i="5"/>
  <c r="G41" i="5" s="1"/>
  <c r="V41" i="5"/>
  <c r="U41" i="5"/>
  <c r="T41" i="5"/>
  <c r="S41" i="5"/>
  <c r="R41" i="5"/>
  <c r="Q41" i="5"/>
  <c r="P41" i="5"/>
  <c r="O41" i="5"/>
  <c r="N41" i="5"/>
  <c r="M41" i="5"/>
  <c r="L41" i="5"/>
  <c r="K41" i="5"/>
  <c r="J41" i="5"/>
  <c r="F41" i="5" s="1"/>
  <c r="U37" i="5"/>
  <c r="J36" i="5"/>
  <c r="K27" i="5"/>
  <c r="J27" i="5"/>
  <c r="AS20" i="5"/>
  <c r="AS21" i="5" s="1"/>
  <c r="AR20" i="5"/>
  <c r="AR21" i="5" s="1"/>
  <c r="J14" i="5"/>
  <c r="F14" i="5"/>
  <c r="J9" i="5"/>
  <c r="F9" i="5"/>
  <c r="AS5" i="5"/>
  <c r="AS37" i="5" s="1"/>
  <c r="AR5" i="5"/>
  <c r="AR37" i="5" s="1"/>
  <c r="AQ5" i="5"/>
  <c r="AP5" i="5"/>
  <c r="AP37" i="5" s="1"/>
  <c r="AO5" i="5"/>
  <c r="AO37" i="5" s="1"/>
  <c r="AN5" i="5"/>
  <c r="AM5" i="5"/>
  <c r="AM37" i="5" s="1"/>
  <c r="AL5" i="5"/>
  <c r="AL37" i="5" s="1"/>
  <c r="AK5" i="5"/>
  <c r="AJ5" i="5"/>
  <c r="AJ37" i="5" s="1"/>
  <c r="AI5" i="5"/>
  <c r="AI37" i="5" s="1"/>
  <c r="AH5" i="5"/>
  <c r="AG5" i="5"/>
  <c r="AG37" i="5" s="1"/>
  <c r="AF5" i="5"/>
  <c r="AF37" i="5" s="1"/>
  <c r="AE5" i="5"/>
  <c r="AD5" i="5"/>
  <c r="AD37" i="5" s="1"/>
  <c r="AC5" i="5"/>
  <c r="AC37" i="5" s="1"/>
  <c r="AB5" i="5"/>
  <c r="AA5" i="5"/>
  <c r="AA37" i="5" s="1"/>
  <c r="Z5" i="5"/>
  <c r="Z37" i="5" s="1"/>
  <c r="Y5" i="5"/>
  <c r="X5" i="5"/>
  <c r="X37" i="5" s="1"/>
  <c r="W5" i="5"/>
  <c r="W37" i="5" s="1"/>
  <c r="V5" i="5"/>
  <c r="U5" i="5"/>
  <c r="T5" i="5"/>
  <c r="T37" i="5" s="1"/>
  <c r="S5" i="5"/>
  <c r="R5" i="5"/>
  <c r="R37" i="5" s="1"/>
  <c r="Q5" i="5"/>
  <c r="Q37" i="5" s="1"/>
  <c r="P5" i="5"/>
  <c r="O5" i="5"/>
  <c r="O37" i="5" s="1"/>
  <c r="N5" i="5"/>
  <c r="N37" i="5" s="1"/>
  <c r="M5" i="5"/>
  <c r="L5" i="5"/>
  <c r="L37" i="5" s="1"/>
  <c r="K5" i="5"/>
  <c r="K37" i="5" s="1"/>
  <c r="J5" i="5"/>
  <c r="J37" i="5" s="1"/>
  <c r="AS51" i="4"/>
  <c r="AR51" i="4"/>
  <c r="AQ51" i="4"/>
  <c r="AP51" i="4"/>
  <c r="AO51" i="4"/>
  <c r="AN51" i="4"/>
  <c r="AM51" i="4"/>
  <c r="AL51" i="4"/>
  <c r="AK51" i="4"/>
  <c r="AJ51" i="4"/>
  <c r="AI51" i="4"/>
  <c r="AH51" i="4"/>
  <c r="AG51" i="4"/>
  <c r="AF51" i="4"/>
  <c r="AE51" i="4"/>
  <c r="AD51" i="4"/>
  <c r="AC51" i="4"/>
  <c r="AB51" i="4"/>
  <c r="AA51" i="4"/>
  <c r="Z51" i="4"/>
  <c r="Y51" i="4"/>
  <c r="X51" i="4"/>
  <c r="W51" i="4"/>
  <c r="V51" i="4"/>
  <c r="U51" i="4"/>
  <c r="T51" i="4"/>
  <c r="S51" i="4"/>
  <c r="R51" i="4"/>
  <c r="Q51" i="4"/>
  <c r="P51" i="4"/>
  <c r="O51" i="4"/>
  <c r="N51" i="4"/>
  <c r="J27" i="4"/>
  <c r="J26" i="4"/>
  <c r="J28" i="4" s="1"/>
  <c r="S25" i="4"/>
  <c r="W24" i="4"/>
  <c r="AI8" i="4"/>
  <c r="AI9" i="4" s="1"/>
  <c r="AH8" i="4"/>
  <c r="AH9" i="4" s="1"/>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H48" i="3"/>
  <c r="G48" i="3"/>
  <c r="F48" i="3"/>
  <c r="H47" i="3"/>
  <c r="G47" i="3"/>
  <c r="F47" i="3"/>
  <c r="H37" i="3"/>
  <c r="G37" i="3"/>
  <c r="F37" i="3"/>
  <c r="H36" i="3"/>
  <c r="G36" i="3"/>
  <c r="F36" i="3"/>
  <c r="H34" i="3"/>
  <c r="G34" i="3"/>
  <c r="F34" i="3"/>
  <c r="H31" i="3"/>
  <c r="H35" i="3" s="1"/>
  <c r="G31" i="3"/>
  <c r="G35" i="3" s="1"/>
  <c r="F31" i="3"/>
  <c r="F35" i="3" s="1"/>
  <c r="H22" i="3"/>
  <c r="G22" i="3"/>
  <c r="F22" i="3"/>
  <c r="H17" i="3"/>
  <c r="G17" i="3"/>
  <c r="F17" i="3"/>
  <c r="H16" i="3"/>
  <c r="G16" i="3"/>
  <c r="F16" i="3"/>
  <c r="H14" i="3"/>
  <c r="G14" i="3"/>
  <c r="F14" i="3"/>
  <c r="F109" i="2"/>
  <c r="H74" i="2"/>
  <c r="H45" i="3" s="1"/>
  <c r="G74" i="2"/>
  <c r="G45" i="3" s="1"/>
  <c r="F74" i="2"/>
  <c r="F45" i="3" s="1"/>
  <c r="H70" i="2"/>
  <c r="H43" i="3" s="1"/>
  <c r="H44" i="3" s="1"/>
  <c r="G70" i="2"/>
  <c r="G43" i="3" s="1"/>
  <c r="G44" i="3" s="1"/>
  <c r="F70" i="2"/>
  <c r="F43" i="3" s="1"/>
  <c r="F44" i="3" s="1"/>
  <c r="H66" i="2"/>
  <c r="G66" i="2"/>
  <c r="F66" i="2"/>
  <c r="R50" i="4" s="1"/>
  <c r="H62" i="2"/>
  <c r="G62" i="2"/>
  <c r="F62" i="2"/>
  <c r="H58" i="2"/>
  <c r="G58" i="2"/>
  <c r="F58" i="2"/>
  <c r="H54" i="2"/>
  <c r="G54" i="2"/>
  <c r="F54" i="2"/>
  <c r="H50" i="2"/>
  <c r="G50" i="2"/>
  <c r="F50" i="2"/>
  <c r="H49" i="2"/>
  <c r="G49" i="2"/>
  <c r="H48" i="2"/>
  <c r="H46" i="2" s="1"/>
  <c r="G48" i="2"/>
  <c r="G46" i="2" s="1"/>
  <c r="H47" i="2"/>
  <c r="G47" i="2"/>
  <c r="F46" i="2"/>
  <c r="AN8" i="4" s="1"/>
  <c r="AN9" i="4" s="1"/>
  <c r="H42" i="2"/>
  <c r="G42" i="2"/>
  <c r="F42" i="2"/>
  <c r="H38" i="2"/>
  <c r="G38" i="2"/>
  <c r="F38" i="2"/>
  <c r="H34" i="2"/>
  <c r="AO25" i="4" s="1"/>
  <c r="G34" i="2"/>
  <c r="AG25" i="4" s="1"/>
  <c r="F34" i="2"/>
  <c r="Q25" i="4" s="1"/>
  <c r="H30" i="2"/>
  <c r="AS24" i="4" s="1"/>
  <c r="G30" i="2"/>
  <c r="AC24" i="4" s="1"/>
  <c r="F30" i="2"/>
  <c r="N24" i="4" s="1"/>
  <c r="H26" i="2"/>
  <c r="H10" i="3" s="1"/>
  <c r="G26" i="2"/>
  <c r="G10" i="3" s="1"/>
  <c r="F26" i="2"/>
  <c r="F10" i="3" s="1"/>
  <c r="H22" i="2"/>
  <c r="AN14" i="4" s="1"/>
  <c r="G22" i="2"/>
  <c r="AF14" i="4" s="1"/>
  <c r="F22" i="2"/>
  <c r="P14" i="4" s="1"/>
  <c r="H18" i="2"/>
  <c r="AP11" i="4" s="1"/>
  <c r="G18" i="2"/>
  <c r="AB11" i="4" s="1"/>
  <c r="F18" i="2"/>
  <c r="T11" i="4" s="1"/>
  <c r="H14" i="2"/>
  <c r="H12" i="3" s="1"/>
  <c r="G14" i="2"/>
  <c r="G12" i="3" s="1"/>
  <c r="F14" i="2"/>
  <c r="F12" i="3" s="1"/>
  <c r="H10" i="2"/>
  <c r="H8" i="3" s="1"/>
  <c r="H9" i="3" s="1"/>
  <c r="G10" i="2"/>
  <c r="F10" i="2"/>
  <c r="F28" i="7" s="1"/>
  <c r="F29" i="7" s="1"/>
  <c r="F31" i="7" s="1"/>
  <c r="H4" i="2"/>
  <c r="H33" i="3" l="1"/>
  <c r="AP8" i="4"/>
  <c r="AP9" i="4" s="1"/>
  <c r="AP18" i="4" s="1"/>
  <c r="R25" i="4"/>
  <c r="F25" i="3"/>
  <c r="AJ11" i="4"/>
  <c r="AQ11" i="4"/>
  <c r="Z25" i="4"/>
  <c r="Y14" i="4"/>
  <c r="Z14" i="4"/>
  <c r="J8" i="4"/>
  <c r="J9" i="4" s="1"/>
  <c r="J13" i="4" s="1"/>
  <c r="AD14" i="4"/>
  <c r="V24" i="4"/>
  <c r="F8" i="3"/>
  <c r="F9" i="3" s="1"/>
  <c r="F11" i="3" s="1"/>
  <c r="F13" i="3" s="1"/>
  <c r="J50" i="4"/>
  <c r="AD24" i="4"/>
  <c r="G30" i="3"/>
  <c r="G32" i="3" s="1"/>
  <c r="H30" i="3"/>
  <c r="H32" i="3" s="1"/>
  <c r="H38" i="3" s="1"/>
  <c r="K8" i="4"/>
  <c r="K9" i="4" s="1"/>
  <c r="K13" i="4" s="1"/>
  <c r="K16" i="4" s="1"/>
  <c r="AQ8" i="4"/>
  <c r="AQ9" i="4" s="1"/>
  <c r="AQ10" i="4" s="1"/>
  <c r="AQ47" i="4" s="1"/>
  <c r="J14" i="4"/>
  <c r="AG14" i="4"/>
  <c r="AE24" i="4"/>
  <c r="AA25" i="4"/>
  <c r="H11" i="3"/>
  <c r="H13" i="3" s="1"/>
  <c r="H50" i="3"/>
  <c r="R8" i="4"/>
  <c r="R9" i="4" s="1"/>
  <c r="R13" i="4" s="1"/>
  <c r="N14" i="4"/>
  <c r="AH14" i="4"/>
  <c r="AL24" i="4"/>
  <c r="AH25" i="4"/>
  <c r="AN10" i="4"/>
  <c r="AN47" i="4" s="1"/>
  <c r="F51" i="3"/>
  <c r="S8" i="4"/>
  <c r="S9" i="4" s="1"/>
  <c r="S10" i="4" s="1"/>
  <c r="S47" i="4" s="1"/>
  <c r="AA11" i="4"/>
  <c r="Q14" i="4"/>
  <c r="AO14" i="4"/>
  <c r="AM24" i="4"/>
  <c r="AI25" i="4"/>
  <c r="G25" i="3"/>
  <c r="H19" i="3"/>
  <c r="Z8" i="4"/>
  <c r="Z9" i="4" s="1"/>
  <c r="Z13" i="4" s="1"/>
  <c r="Z16" i="4" s="1"/>
  <c r="R14" i="4"/>
  <c r="AP14" i="4"/>
  <c r="J25" i="4"/>
  <c r="AP25" i="4"/>
  <c r="AR11" i="4"/>
  <c r="H25" i="3"/>
  <c r="G33" i="3"/>
  <c r="AA8" i="4"/>
  <c r="AA9" i="4" s="1"/>
  <c r="AA13" i="4" s="1"/>
  <c r="AI11" i="4"/>
  <c r="V14" i="4"/>
  <c r="K25" i="4"/>
  <c r="K27" i="4" s="1"/>
  <c r="AQ25" i="4"/>
  <c r="J14" i="10"/>
  <c r="J29" i="4"/>
  <c r="F15" i="3"/>
  <c r="AI18" i="4"/>
  <c r="AH18" i="4"/>
  <c r="AN18" i="4"/>
  <c r="H46" i="3"/>
  <c r="H49" i="3" s="1"/>
  <c r="G15" i="3"/>
  <c r="F46" i="3"/>
  <c r="F49" i="3" s="1"/>
  <c r="R11" i="4"/>
  <c r="J11" i="4"/>
  <c r="Q11" i="4"/>
  <c r="P11" i="4"/>
  <c r="O11" i="4"/>
  <c r="N11" i="4"/>
  <c r="U11" i="4"/>
  <c r="M11" i="4"/>
  <c r="H15" i="3"/>
  <c r="K11" i="4"/>
  <c r="F4" i="7"/>
  <c r="G4" i="11"/>
  <c r="F4" i="10"/>
  <c r="F4" i="9"/>
  <c r="F4" i="8"/>
  <c r="F4" i="6"/>
  <c r="F4" i="5"/>
  <c r="F4" i="3"/>
  <c r="F4" i="4"/>
  <c r="F4" i="1"/>
  <c r="Z11" i="4"/>
  <c r="Z12" i="4" s="1"/>
  <c r="Z15" i="4" s="1"/>
  <c r="AG11" i="4"/>
  <c r="Y11" i="4"/>
  <c r="AF11" i="4"/>
  <c r="X11" i="4"/>
  <c r="AE11" i="4"/>
  <c r="W11" i="4"/>
  <c r="AD11" i="4"/>
  <c r="V11" i="4"/>
  <c r="AC11" i="4"/>
  <c r="U24" i="4"/>
  <c r="M24" i="4"/>
  <c r="T24" i="4"/>
  <c r="L24" i="4"/>
  <c r="F50" i="3"/>
  <c r="F52" i="3" s="1"/>
  <c r="F53" i="3" s="1"/>
  <c r="S24" i="4"/>
  <c r="K24" i="4"/>
  <c r="R24" i="4"/>
  <c r="J24" i="4"/>
  <c r="O24" i="4"/>
  <c r="Q24" i="4"/>
  <c r="P24" i="4"/>
  <c r="AQ13" i="4"/>
  <c r="AI13" i="4"/>
  <c r="AP13" i="4"/>
  <c r="AH13" i="4"/>
  <c r="AN13" i="4"/>
  <c r="AN16" i="4" s="1"/>
  <c r="L11" i="4"/>
  <c r="S11" i="4"/>
  <c r="Q50" i="4"/>
  <c r="P50" i="4"/>
  <c r="O50" i="4"/>
  <c r="N50" i="4"/>
  <c r="U50" i="4"/>
  <c r="M50" i="4"/>
  <c r="T50" i="4"/>
  <c r="L50" i="4"/>
  <c r="S50" i="4"/>
  <c r="K50" i="4"/>
  <c r="G51" i="3"/>
  <c r="L8" i="4"/>
  <c r="L9" i="4" s="1"/>
  <c r="L10" i="4" s="1"/>
  <c r="L47" i="4" s="1"/>
  <c r="T8" i="4"/>
  <c r="T9" i="4" s="1"/>
  <c r="T10" i="4" s="1"/>
  <c r="T47" i="4" s="1"/>
  <c r="AB8" i="4"/>
  <c r="AB9" i="4" s="1"/>
  <c r="AB10" i="4" s="1"/>
  <c r="AB47" i="4" s="1"/>
  <c r="AJ8" i="4"/>
  <c r="AJ9" i="4" s="1"/>
  <c r="AJ10" i="4" s="1"/>
  <c r="AJ47" i="4" s="1"/>
  <c r="AR8" i="4"/>
  <c r="AR9" i="4" s="1"/>
  <c r="AR10" i="4" s="1"/>
  <c r="AR47" i="4" s="1"/>
  <c r="AK11" i="4"/>
  <c r="AS11" i="4"/>
  <c r="K14" i="4"/>
  <c r="S14" i="4"/>
  <c r="AA14" i="4"/>
  <c r="AI14" i="4"/>
  <c r="AQ14" i="4"/>
  <c r="X24" i="4"/>
  <c r="AF24" i="4"/>
  <c r="AN24" i="4"/>
  <c r="L25" i="4"/>
  <c r="T25" i="4"/>
  <c r="AB25" i="4"/>
  <c r="AJ25" i="4"/>
  <c r="AR25" i="4"/>
  <c r="AG50" i="4"/>
  <c r="Y50" i="4"/>
  <c r="AF50" i="4"/>
  <c r="X50" i="4"/>
  <c r="AE50" i="4"/>
  <c r="W50" i="4"/>
  <c r="AD50" i="4"/>
  <c r="V50" i="4"/>
  <c r="AC50" i="4"/>
  <c r="AB50" i="4"/>
  <c r="AA50" i="4"/>
  <c r="Z50" i="4"/>
  <c r="J51" i="4"/>
  <c r="M51" i="4"/>
  <c r="L51" i="4"/>
  <c r="K51" i="4"/>
  <c r="G46" i="3"/>
  <c r="G49" i="3" s="1"/>
  <c r="H51" i="3"/>
  <c r="H52" i="3" s="1"/>
  <c r="M8" i="4"/>
  <c r="M9" i="4" s="1"/>
  <c r="U8" i="4"/>
  <c r="U9" i="4" s="1"/>
  <c r="U10" i="4" s="1"/>
  <c r="U47" i="4" s="1"/>
  <c r="AC8" i="4"/>
  <c r="AC9" i="4" s="1"/>
  <c r="AC18" i="4" s="1"/>
  <c r="AK8" i="4"/>
  <c r="AK9" i="4" s="1"/>
  <c r="AK13" i="4" s="1"/>
  <c r="AS8" i="4"/>
  <c r="AS9" i="4" s="1"/>
  <c r="AS13" i="4" s="1"/>
  <c r="Z10" i="4"/>
  <c r="Z47" i="4" s="1"/>
  <c r="AH10" i="4"/>
  <c r="AP10" i="4"/>
  <c r="AP47" i="4" s="1"/>
  <c r="AL11" i="4"/>
  <c r="L14" i="4"/>
  <c r="T14" i="4"/>
  <c r="AB14" i="4"/>
  <c r="AJ14" i="4"/>
  <c r="AR14" i="4"/>
  <c r="Y24" i="4"/>
  <c r="AG24" i="4"/>
  <c r="AO24" i="4"/>
  <c r="M25" i="4"/>
  <c r="U25" i="4"/>
  <c r="AC25" i="4"/>
  <c r="AK25" i="4"/>
  <c r="AS25" i="4"/>
  <c r="P49" i="4"/>
  <c r="O49" i="4"/>
  <c r="N49" i="4"/>
  <c r="U49" i="4"/>
  <c r="M49" i="4"/>
  <c r="T49" i="4"/>
  <c r="L49" i="4"/>
  <c r="S49" i="4"/>
  <c r="K49" i="4"/>
  <c r="R49" i="4"/>
  <c r="J49" i="4"/>
  <c r="Q49" i="4"/>
  <c r="AO50" i="4"/>
  <c r="AN50" i="4"/>
  <c r="AM50" i="4"/>
  <c r="AL50" i="4"/>
  <c r="AS50" i="4"/>
  <c r="AK50" i="4"/>
  <c r="AR50" i="4"/>
  <c r="AJ50" i="4"/>
  <c r="AQ50" i="4"/>
  <c r="AI50" i="4"/>
  <c r="AP50" i="4"/>
  <c r="AH50" i="4"/>
  <c r="N8" i="4"/>
  <c r="N9" i="4" s="1"/>
  <c r="V8" i="4"/>
  <c r="V9" i="4" s="1"/>
  <c r="V18" i="4" s="1"/>
  <c r="AD8" i="4"/>
  <c r="AD9" i="4" s="1"/>
  <c r="AD18" i="4" s="1"/>
  <c r="AL8" i="4"/>
  <c r="AL9" i="4" s="1"/>
  <c r="AL13" i="4" s="1"/>
  <c r="K10" i="4"/>
  <c r="K47" i="4" s="1"/>
  <c r="AI10" i="4"/>
  <c r="AI47" i="4" s="1"/>
  <c r="AM11" i="4"/>
  <c r="M14" i="4"/>
  <c r="U14" i="4"/>
  <c r="AC14" i="4"/>
  <c r="AK14" i="4"/>
  <c r="AS14" i="4"/>
  <c r="Z24" i="4"/>
  <c r="AH24" i="4"/>
  <c r="AP24" i="4"/>
  <c r="N25" i="4"/>
  <c r="V25" i="4"/>
  <c r="AD25" i="4"/>
  <c r="AL25" i="4"/>
  <c r="U12" i="5"/>
  <c r="M12" i="5"/>
  <c r="T12" i="5"/>
  <c r="L12" i="5"/>
  <c r="S12" i="5"/>
  <c r="K12" i="5"/>
  <c r="R12" i="5"/>
  <c r="J12" i="5"/>
  <c r="P12" i="5"/>
  <c r="O12" i="5"/>
  <c r="Q12" i="5"/>
  <c r="N12" i="5"/>
  <c r="AF49" i="4"/>
  <c r="X49" i="4"/>
  <c r="AE49" i="4"/>
  <c r="W49" i="4"/>
  <c r="AD49" i="4"/>
  <c r="V49" i="4"/>
  <c r="AC49" i="4"/>
  <c r="AB49" i="4"/>
  <c r="AA49" i="4"/>
  <c r="Z49" i="4"/>
  <c r="AG49" i="4"/>
  <c r="Y49" i="4"/>
  <c r="O8" i="4"/>
  <c r="O9" i="4" s="1"/>
  <c r="O10" i="4" s="1"/>
  <c r="O47" i="4" s="1"/>
  <c r="W8" i="4"/>
  <c r="W9" i="4" s="1"/>
  <c r="W10" i="4" s="1"/>
  <c r="W47" i="4" s="1"/>
  <c r="AE8" i="4"/>
  <c r="AE9" i="4" s="1"/>
  <c r="AE10" i="4" s="1"/>
  <c r="AE47" i="4" s="1"/>
  <c r="AM8" i="4"/>
  <c r="AM9" i="4" s="1"/>
  <c r="AM10" i="4" s="1"/>
  <c r="AM47" i="4" s="1"/>
  <c r="AN11" i="4"/>
  <c r="AN12" i="4" s="1"/>
  <c r="AN15" i="4" s="1"/>
  <c r="AN17" i="4" s="1"/>
  <c r="AL14" i="4"/>
  <c r="J18" i="4"/>
  <c r="R18" i="4"/>
  <c r="AA24" i="4"/>
  <c r="AI24" i="4"/>
  <c r="AQ24" i="4"/>
  <c r="O25" i="4"/>
  <c r="W25" i="4"/>
  <c r="AE25" i="4"/>
  <c r="AM25" i="4"/>
  <c r="AC12" i="5"/>
  <c r="AB12" i="5"/>
  <c r="AA12" i="5"/>
  <c r="Z12" i="5"/>
  <c r="AF12" i="5"/>
  <c r="X12" i="5"/>
  <c r="AE12" i="5"/>
  <c r="W12" i="5"/>
  <c r="AG12" i="5"/>
  <c r="AD12" i="5"/>
  <c r="Y12" i="5"/>
  <c r="V12" i="5"/>
  <c r="AN49" i="4"/>
  <c r="AM49" i="4"/>
  <c r="AL49" i="4"/>
  <c r="AS49" i="4"/>
  <c r="AK49" i="4"/>
  <c r="AR49" i="4"/>
  <c r="AJ49" i="4"/>
  <c r="AQ49" i="4"/>
  <c r="AI49" i="4"/>
  <c r="AP49" i="4"/>
  <c r="AH49" i="4"/>
  <c r="AO49" i="4"/>
  <c r="G8" i="3"/>
  <c r="G9" i="3" s="1"/>
  <c r="G11" i="3" s="1"/>
  <c r="F19" i="3"/>
  <c r="F30" i="3"/>
  <c r="F32" i="3" s="1"/>
  <c r="P8" i="4"/>
  <c r="P9" i="4" s="1"/>
  <c r="P10" i="4" s="1"/>
  <c r="P47" i="4" s="1"/>
  <c r="X8" i="4"/>
  <c r="X9" i="4" s="1"/>
  <c r="X10" i="4" s="1"/>
  <c r="X47" i="4" s="1"/>
  <c r="AF8" i="4"/>
  <c r="AF9" i="4" s="1"/>
  <c r="AF10" i="4" s="1"/>
  <c r="AF47" i="4" s="1"/>
  <c r="AC10" i="4"/>
  <c r="AC47" i="4" s="1"/>
  <c r="AK10" i="4"/>
  <c r="AK47" i="4" s="1"/>
  <c r="AO11" i="4"/>
  <c r="S13" i="4"/>
  <c r="S16" i="4" s="1"/>
  <c r="O14" i="4"/>
  <c r="W14" i="4"/>
  <c r="AE14" i="4"/>
  <c r="AM14" i="4"/>
  <c r="K18" i="4"/>
  <c r="S18" i="4"/>
  <c r="AB24" i="4"/>
  <c r="AJ24" i="4"/>
  <c r="AR24" i="4"/>
  <c r="P25" i="4"/>
  <c r="X25" i="4"/>
  <c r="AF25" i="4"/>
  <c r="AN25" i="4"/>
  <c r="AN33" i="5"/>
  <c r="AN53" i="4" s="1"/>
  <c r="AF33" i="5"/>
  <c r="AF53" i="4" s="1"/>
  <c r="X33" i="5"/>
  <c r="X53" i="4" s="1"/>
  <c r="P33" i="5"/>
  <c r="P53" i="4" s="1"/>
  <c r="AM32" i="5"/>
  <c r="AE32" i="5"/>
  <c r="W32" i="5"/>
  <c r="O32" i="5"/>
  <c r="AL33" i="5"/>
  <c r="AL53" i="4" s="1"/>
  <c r="AD33" i="5"/>
  <c r="AD53" i="4" s="1"/>
  <c r="V33" i="5"/>
  <c r="N33" i="5"/>
  <c r="N53" i="4" s="1"/>
  <c r="AS32" i="5"/>
  <c r="AK32" i="5"/>
  <c r="AC32" i="5"/>
  <c r="U32" i="5"/>
  <c r="M32" i="5"/>
  <c r="AR33" i="5"/>
  <c r="AR53" i="4" s="1"/>
  <c r="AJ33" i="5"/>
  <c r="AJ53" i="4" s="1"/>
  <c r="AB33" i="5"/>
  <c r="AB53" i="4" s="1"/>
  <c r="T33" i="5"/>
  <c r="T53" i="4" s="1"/>
  <c r="L33" i="5"/>
  <c r="L53" i="4" s="1"/>
  <c r="AQ32" i="5"/>
  <c r="AI32" i="5"/>
  <c r="AA32" i="5"/>
  <c r="S32" i="5"/>
  <c r="K32" i="5"/>
  <c r="AQ33" i="5"/>
  <c r="AQ53" i="4" s="1"/>
  <c r="AI33" i="5"/>
  <c r="AI53" i="4" s="1"/>
  <c r="AA33" i="5"/>
  <c r="AA53" i="4" s="1"/>
  <c r="S33" i="5"/>
  <c r="S53" i="4" s="1"/>
  <c r="K33" i="5"/>
  <c r="K53" i="4" s="1"/>
  <c r="AP32" i="5"/>
  <c r="AO33" i="5"/>
  <c r="AO53" i="4" s="1"/>
  <c r="AG33" i="5"/>
  <c r="AG53" i="4" s="1"/>
  <c r="Y33" i="5"/>
  <c r="Y53" i="4" s="1"/>
  <c r="Q33" i="5"/>
  <c r="Q53" i="4" s="1"/>
  <c r="AN32" i="5"/>
  <c r="AF32" i="5"/>
  <c r="X32" i="5"/>
  <c r="P32" i="5"/>
  <c r="AP33" i="5"/>
  <c r="AP53" i="4" s="1"/>
  <c r="U33" i="5"/>
  <c r="U53" i="4" s="1"/>
  <c r="AL32" i="5"/>
  <c r="V32" i="5"/>
  <c r="AM33" i="5"/>
  <c r="AM53" i="4" s="1"/>
  <c r="R33" i="5"/>
  <c r="R53" i="4" s="1"/>
  <c r="AJ32" i="5"/>
  <c r="T32" i="5"/>
  <c r="AH33" i="5"/>
  <c r="M33" i="5"/>
  <c r="M53" i="4" s="1"/>
  <c r="AG32" i="5"/>
  <c r="Q32" i="5"/>
  <c r="AE33" i="5"/>
  <c r="AE53" i="4" s="1"/>
  <c r="J33" i="5"/>
  <c r="AD32" i="5"/>
  <c r="N32" i="5"/>
  <c r="AC33" i="5"/>
  <c r="AC53" i="4" s="1"/>
  <c r="AB32" i="5"/>
  <c r="L32" i="5"/>
  <c r="AK33" i="5"/>
  <c r="AK53" i="4" s="1"/>
  <c r="Y32" i="5"/>
  <c r="AF10" i="5"/>
  <c r="X10" i="5"/>
  <c r="X13" i="5" s="1"/>
  <c r="Z33" i="5"/>
  <c r="Z53" i="4" s="1"/>
  <c r="R32" i="5"/>
  <c r="AM10" i="5"/>
  <c r="W10" i="5"/>
  <c r="O10" i="5"/>
  <c r="O13" i="5" s="1"/>
  <c r="W33" i="5"/>
  <c r="W53" i="4" s="1"/>
  <c r="J32" i="5"/>
  <c r="AL10" i="5"/>
  <c r="AD10" i="5"/>
  <c r="AD13" i="5" s="1"/>
  <c r="N10" i="5"/>
  <c r="O33" i="5"/>
  <c r="O53" i="4" s="1"/>
  <c r="AS10" i="5"/>
  <c r="AC10" i="5"/>
  <c r="AC13" i="5" s="1"/>
  <c r="U10" i="5"/>
  <c r="U13" i="5" s="1"/>
  <c r="M10" i="5"/>
  <c r="M13" i="5" s="1"/>
  <c r="AR32" i="5"/>
  <c r="AO32" i="5"/>
  <c r="AI10" i="5"/>
  <c r="AI13" i="5" s="1"/>
  <c r="AA10" i="5"/>
  <c r="K10" i="5"/>
  <c r="K13" i="5" s="1"/>
  <c r="AH32" i="5"/>
  <c r="AP10" i="5"/>
  <c r="AP13" i="5" s="1"/>
  <c r="Z10" i="5"/>
  <c r="R10" i="5"/>
  <c r="J10" i="5"/>
  <c r="Q10" i="5"/>
  <c r="AR10" i="5"/>
  <c r="L10" i="5"/>
  <c r="AS33" i="5"/>
  <c r="AS53" i="4" s="1"/>
  <c r="AO10" i="5"/>
  <c r="Z32" i="5"/>
  <c r="AJ10" i="5"/>
  <c r="AG10" i="5"/>
  <c r="AG13" i="5" s="1"/>
  <c r="T10" i="5"/>
  <c r="AS12" i="5"/>
  <c r="AK12" i="5"/>
  <c r="AR12" i="5"/>
  <c r="AJ12" i="5"/>
  <c r="AQ12" i="5"/>
  <c r="AI12" i="5"/>
  <c r="AP12" i="5"/>
  <c r="AH12" i="5"/>
  <c r="AN12" i="5"/>
  <c r="AM12" i="5"/>
  <c r="AL12" i="5"/>
  <c r="AO12" i="5"/>
  <c r="G19" i="3"/>
  <c r="F33" i="3"/>
  <c r="G50" i="3"/>
  <c r="G52" i="3" s="1"/>
  <c r="G53" i="3" s="1"/>
  <c r="Q8" i="4"/>
  <c r="Q9" i="4" s="1"/>
  <c r="Q18" i="4" s="1"/>
  <c r="Y8" i="4"/>
  <c r="Y9" i="4" s="1"/>
  <c r="Y18" i="4" s="1"/>
  <c r="AG8" i="4"/>
  <c r="AG9" i="4" s="1"/>
  <c r="AG18" i="4" s="1"/>
  <c r="AO8" i="4"/>
  <c r="AO9" i="4" s="1"/>
  <c r="AO13" i="4" s="1"/>
  <c r="AO16" i="4" s="1"/>
  <c r="AH11" i="4"/>
  <c r="X14" i="4"/>
  <c r="AK24" i="4"/>
  <c r="Y25" i="4"/>
  <c r="H51" i="4"/>
  <c r="G51" i="4"/>
  <c r="J15" i="5"/>
  <c r="F36" i="5"/>
  <c r="H41" i="5"/>
  <c r="F42" i="5"/>
  <c r="F17" i="10"/>
  <c r="F19" i="6"/>
  <c r="H18" i="3" l="1"/>
  <c r="H20" i="3" s="1"/>
  <c r="L18" i="4"/>
  <c r="H53" i="3"/>
  <c r="F18" i="3"/>
  <c r="AA18" i="4"/>
  <c r="AA22" i="4" s="1"/>
  <c r="AA31" i="4" s="1"/>
  <c r="AC27" i="5" s="1"/>
  <c r="AA10" i="4"/>
  <c r="AA47" i="4" s="1"/>
  <c r="R10" i="4"/>
  <c r="R47" i="4" s="1"/>
  <c r="Y10" i="4"/>
  <c r="Y47" i="4" s="1"/>
  <c r="J16" i="4"/>
  <c r="L13" i="4"/>
  <c r="L16" i="4" s="1"/>
  <c r="Z18" i="4"/>
  <c r="J10" i="4"/>
  <c r="AB13" i="4"/>
  <c r="AB16" i="4" s="1"/>
  <c r="AF13" i="5"/>
  <c r="AF22" i="5" s="1"/>
  <c r="V10" i="4"/>
  <c r="AQ16" i="4"/>
  <c r="AS13" i="5"/>
  <c r="W13" i="5"/>
  <c r="U20" i="5" s="1"/>
  <c r="U21" i="5" s="1"/>
  <c r="AK16" i="4"/>
  <c r="T18" i="4"/>
  <c r="K12" i="4"/>
  <c r="K15" i="4" s="1"/>
  <c r="K17" i="4" s="1"/>
  <c r="K38" i="4" s="1"/>
  <c r="R16" i="4"/>
  <c r="AD13" i="4"/>
  <c r="AD16" i="4" s="1"/>
  <c r="AK18" i="4"/>
  <c r="AK42" i="4" s="1"/>
  <c r="L12" i="4"/>
  <c r="L15" i="4" s="1"/>
  <c r="Y13" i="4"/>
  <c r="Y16" i="4" s="1"/>
  <c r="AQ18" i="4"/>
  <c r="T12" i="4"/>
  <c r="T15" i="4" s="1"/>
  <c r="G38" i="3"/>
  <c r="F38" i="3"/>
  <c r="AG13" i="4"/>
  <c r="AG16" i="4" s="1"/>
  <c r="AJ13" i="5"/>
  <c r="AH20" i="5" s="1"/>
  <c r="R13" i="5"/>
  <c r="AC12" i="4"/>
  <c r="AC15" i="4" s="1"/>
  <c r="AS10" i="4"/>
  <c r="AS47" i="4" s="1"/>
  <c r="AG10" i="4"/>
  <c r="AG47" i="4" s="1"/>
  <c r="F50" i="4"/>
  <c r="AP16" i="4"/>
  <c r="Z17" i="4"/>
  <c r="AD10" i="4"/>
  <c r="AD47" i="4" s="1"/>
  <c r="AG42" i="4"/>
  <c r="AG22" i="4"/>
  <c r="AG31" i="4" s="1"/>
  <c r="AI27" i="5" s="1"/>
  <c r="Y42" i="4"/>
  <c r="Y22" i="4"/>
  <c r="Y31" i="4" s="1"/>
  <c r="AA27" i="5" s="1"/>
  <c r="Q42" i="4"/>
  <c r="Q22" i="4"/>
  <c r="Q31" i="4" s="1"/>
  <c r="S27" i="5" s="1"/>
  <c r="AD20" i="5"/>
  <c r="AD21" i="5" s="1"/>
  <c r="AB31" i="5"/>
  <c r="AB57" i="4"/>
  <c r="F54" i="3"/>
  <c r="F55" i="3" s="1"/>
  <c r="F23" i="3"/>
  <c r="AJ31" i="5"/>
  <c r="AJ57" i="4"/>
  <c r="AC31" i="5"/>
  <c r="AC57" i="4"/>
  <c r="AH47" i="4"/>
  <c r="AH12" i="4"/>
  <c r="AE20" i="5"/>
  <c r="AE21" i="5" s="1"/>
  <c r="AG22" i="5"/>
  <c r="J13" i="5"/>
  <c r="AA13" i="5"/>
  <c r="X22" i="5"/>
  <c r="V20" i="5"/>
  <c r="AA42" i="4"/>
  <c r="AI31" i="5"/>
  <c r="AI57" i="4"/>
  <c r="AN31" i="5"/>
  <c r="AN57" i="4"/>
  <c r="AN56" i="4"/>
  <c r="AN38" i="4"/>
  <c r="AN20" i="4"/>
  <c r="AN19" i="4"/>
  <c r="AA31" i="5"/>
  <c r="AA57" i="4"/>
  <c r="AF57" i="4"/>
  <c r="AF31" i="5"/>
  <c r="L31" i="5"/>
  <c r="L57" i="4"/>
  <c r="X18" i="4"/>
  <c r="AC42" i="4"/>
  <c r="AC22" i="4"/>
  <c r="AC31" i="4" s="1"/>
  <c r="AE27" i="5" s="1"/>
  <c r="F51" i="4"/>
  <c r="AO10" i="4"/>
  <c r="AO47" i="4" s="1"/>
  <c r="T42" i="4"/>
  <c r="T22" i="4"/>
  <c r="T31" i="4" s="1"/>
  <c r="V27" i="5" s="1"/>
  <c r="AQ12" i="4"/>
  <c r="AQ15" i="4" s="1"/>
  <c r="AF13" i="4"/>
  <c r="AF16" i="4" s="1"/>
  <c r="AS18" i="4"/>
  <c r="AO18" i="4"/>
  <c r="AB12" i="4"/>
  <c r="AB15" i="4" s="1"/>
  <c r="AI22" i="5"/>
  <c r="AG20" i="5"/>
  <c r="AG21" i="5" s="1"/>
  <c r="T31" i="5"/>
  <c r="T57" i="4"/>
  <c r="F33" i="5"/>
  <c r="J53" i="4"/>
  <c r="F53" i="4" s="1"/>
  <c r="AO13" i="5"/>
  <c r="N13" i="5"/>
  <c r="F20" i="1"/>
  <c r="F20" i="3"/>
  <c r="F56" i="3"/>
  <c r="AR31" i="5"/>
  <c r="AR57" i="4"/>
  <c r="V31" i="5"/>
  <c r="G49" i="4"/>
  <c r="G13" i="1" s="1"/>
  <c r="V57" i="4"/>
  <c r="AL16" i="4"/>
  <c r="Q31" i="5"/>
  <c r="Q57" i="4"/>
  <c r="U31" i="5"/>
  <c r="U57" i="4"/>
  <c r="Q10" i="4"/>
  <c r="Q47" i="4" s="1"/>
  <c r="AJ13" i="4"/>
  <c r="AJ16" i="4" s="1"/>
  <c r="H21" i="3"/>
  <c r="H26" i="3"/>
  <c r="O12" i="4"/>
  <c r="O15" i="4" s="1"/>
  <c r="T13" i="4"/>
  <c r="T16" i="4" s="1"/>
  <c r="T17" i="4" s="1"/>
  <c r="AI42" i="4"/>
  <c r="AI22" i="4"/>
  <c r="AI31" i="4" s="1"/>
  <c r="AK27" i="5" s="1"/>
  <c r="J44" i="4"/>
  <c r="J45" i="4"/>
  <c r="J32" i="4"/>
  <c r="J35" i="4"/>
  <c r="H54" i="3"/>
  <c r="H23" i="3"/>
  <c r="H24" i="3" s="1"/>
  <c r="V47" i="4"/>
  <c r="AS22" i="5"/>
  <c r="AS23" i="5" s="1"/>
  <c r="AQ20" i="5"/>
  <c r="AQ21" i="5" s="1"/>
  <c r="S42" i="4"/>
  <c r="S22" i="4"/>
  <c r="S31" i="4" s="1"/>
  <c r="U27" i="5" s="1"/>
  <c r="M18" i="4"/>
  <c r="M13" i="4"/>
  <c r="M16" i="4" s="1"/>
  <c r="Z38" i="4"/>
  <c r="Z56" i="4"/>
  <c r="Z19" i="4"/>
  <c r="Z20" i="4"/>
  <c r="Z21" i="4"/>
  <c r="AP22" i="5"/>
  <c r="AN20" i="5"/>
  <c r="AN21" i="5" s="1"/>
  <c r="AM13" i="5"/>
  <c r="G32" i="5"/>
  <c r="G13" i="3"/>
  <c r="G18" i="3"/>
  <c r="G20" i="3" s="1"/>
  <c r="AK31" i="5"/>
  <c r="AK57" i="4"/>
  <c r="Z42" i="4"/>
  <c r="Z22" i="4"/>
  <c r="Z31" i="4" s="1"/>
  <c r="AB27" i="5" s="1"/>
  <c r="AD31" i="5"/>
  <c r="AD57" i="4"/>
  <c r="Q13" i="4"/>
  <c r="Q16" i="4" s="1"/>
  <c r="AD42" i="4"/>
  <c r="AD22" i="4"/>
  <c r="AD31" i="4"/>
  <c r="AF27" i="5" s="1"/>
  <c r="J31" i="5"/>
  <c r="F49" i="4"/>
  <c r="F13" i="1" s="1"/>
  <c r="J57" i="4"/>
  <c r="N31" i="5"/>
  <c r="N57" i="4"/>
  <c r="AM13" i="4"/>
  <c r="AM16" i="4" s="1"/>
  <c r="AR13" i="4"/>
  <c r="AR16" i="4" s="1"/>
  <c r="W12" i="4"/>
  <c r="W15" i="4" s="1"/>
  <c r="AA16" i="4"/>
  <c r="P12" i="4"/>
  <c r="P15" i="4" s="1"/>
  <c r="AL18" i="4"/>
  <c r="AQ42" i="4"/>
  <c r="AQ22" i="4"/>
  <c r="AQ31" i="4" s="1"/>
  <c r="AS27" i="5" s="1"/>
  <c r="AJ22" i="5"/>
  <c r="AI16" i="4"/>
  <c r="AG12" i="4"/>
  <c r="AG15" i="4" s="1"/>
  <c r="AG17" i="4" s="1"/>
  <c r="L42" i="4"/>
  <c r="L22" i="4"/>
  <c r="L31" i="4" s="1"/>
  <c r="N27" i="5" s="1"/>
  <c r="T13" i="5"/>
  <c r="L13" i="5"/>
  <c r="H32" i="5"/>
  <c r="M22" i="5"/>
  <c r="K20" i="5"/>
  <c r="K21" i="5" s="1"/>
  <c r="AD22" i="5"/>
  <c r="AB20" i="5"/>
  <c r="AB21" i="5" s="1"/>
  <c r="AO57" i="4"/>
  <c r="AO31" i="5"/>
  <c r="AS31" i="5"/>
  <c r="AS57" i="4"/>
  <c r="R42" i="4"/>
  <c r="R31" i="4"/>
  <c r="T27" i="5" s="1"/>
  <c r="R22" i="4"/>
  <c r="Y57" i="4"/>
  <c r="Y31" i="5"/>
  <c r="W31" i="5"/>
  <c r="W57" i="4"/>
  <c r="AM12" i="4"/>
  <c r="AM15" i="4" s="1"/>
  <c r="V42" i="4"/>
  <c r="V31" i="4"/>
  <c r="V22" i="4"/>
  <c r="R31" i="5"/>
  <c r="R57" i="4"/>
  <c r="O31" i="5"/>
  <c r="O57" i="4"/>
  <c r="J47" i="4"/>
  <c r="G50" i="4"/>
  <c r="AE18" i="4"/>
  <c r="O13" i="4"/>
  <c r="O16" i="4" s="1"/>
  <c r="S12" i="4"/>
  <c r="S15" i="4" s="1"/>
  <c r="S17" i="4" s="1"/>
  <c r="AE12" i="4"/>
  <c r="AE15" i="4" s="1"/>
  <c r="AE17" i="4" s="1"/>
  <c r="W13" i="4"/>
  <c r="W16" i="4" s="1"/>
  <c r="AI12" i="4"/>
  <c r="AI15" i="4" s="1"/>
  <c r="AJ18" i="4"/>
  <c r="AJ12" i="4"/>
  <c r="AJ15" i="4" s="1"/>
  <c r="R22" i="5"/>
  <c r="P20" i="5"/>
  <c r="P21" i="5" s="1"/>
  <c r="P18" i="4"/>
  <c r="U12" i="4"/>
  <c r="U15" i="4" s="1"/>
  <c r="K42" i="4"/>
  <c r="K22" i="4"/>
  <c r="K31" i="4" s="1"/>
  <c r="M27" i="5" s="1"/>
  <c r="AR13" i="5"/>
  <c r="K22" i="5"/>
  <c r="U22" i="5"/>
  <c r="S20" i="5"/>
  <c r="S21" i="5" s="1"/>
  <c r="AL13" i="5"/>
  <c r="G33" i="5"/>
  <c r="V53" i="4"/>
  <c r="G53" i="4" s="1"/>
  <c r="M10" i="4"/>
  <c r="M47" i="4" s="1"/>
  <c r="AH31" i="5"/>
  <c r="AH57" i="4"/>
  <c r="H49" i="4"/>
  <c r="H13" i="1" s="1"/>
  <c r="AL31" i="5"/>
  <c r="AL57" i="4"/>
  <c r="J42" i="4"/>
  <c r="J22" i="4"/>
  <c r="J31" i="4" s="1"/>
  <c r="AG57" i="4"/>
  <c r="AG31" i="5"/>
  <c r="AE31" i="5"/>
  <c r="AE57" i="4"/>
  <c r="N18" i="4"/>
  <c r="N13" i="4"/>
  <c r="N16" i="4" s="1"/>
  <c r="K31" i="5"/>
  <c r="K57" i="4"/>
  <c r="P31" i="5"/>
  <c r="P57" i="4"/>
  <c r="AS16" i="4"/>
  <c r="W18" i="4"/>
  <c r="AS12" i="4"/>
  <c r="AS15" i="4" s="1"/>
  <c r="N10" i="4"/>
  <c r="N47" i="4" s="1"/>
  <c r="X12" i="4"/>
  <c r="X15" i="4" s="1"/>
  <c r="AL10" i="4"/>
  <c r="AL47" i="4" s="1"/>
  <c r="AE13" i="4"/>
  <c r="AE16" i="4" s="1"/>
  <c r="J12" i="4"/>
  <c r="AM18" i="4"/>
  <c r="AR18" i="4"/>
  <c r="AB18" i="4"/>
  <c r="AR12" i="4"/>
  <c r="AR15" i="4" s="1"/>
  <c r="AR17" i="4" s="1"/>
  <c r="O22" i="5"/>
  <c r="M20" i="5"/>
  <c r="M21" i="5" s="1"/>
  <c r="M23" i="5" s="1"/>
  <c r="AQ31" i="5"/>
  <c r="AQ57" i="4"/>
  <c r="U18" i="4"/>
  <c r="U13" i="4"/>
  <c r="U16" i="4" s="1"/>
  <c r="AH42" i="4"/>
  <c r="AH22" i="4"/>
  <c r="AH31" i="4" s="1"/>
  <c r="Z13" i="5"/>
  <c r="W22" i="5"/>
  <c r="M31" i="5"/>
  <c r="M57" i="4"/>
  <c r="V12" i="4"/>
  <c r="AP42" i="4"/>
  <c r="AP22" i="4"/>
  <c r="AP31" i="4" s="1"/>
  <c r="AR27" i="5" s="1"/>
  <c r="Q13" i="5"/>
  <c r="AC22" i="5"/>
  <c r="AA20" i="5"/>
  <c r="AA21" i="5" s="1"/>
  <c r="F32" i="5"/>
  <c r="H33" i="5"/>
  <c r="AH53" i="4"/>
  <c r="H53" i="4" s="1"/>
  <c r="AP31" i="5"/>
  <c r="AP57" i="4"/>
  <c r="AM31" i="5"/>
  <c r="AM57" i="4"/>
  <c r="Z31" i="5"/>
  <c r="Z57" i="4"/>
  <c r="X31" i="5"/>
  <c r="X57" i="4"/>
  <c r="H50" i="4"/>
  <c r="S31" i="5"/>
  <c r="S57" i="4"/>
  <c r="AF18" i="4"/>
  <c r="P13" i="4"/>
  <c r="P16" i="4" s="1"/>
  <c r="O18" i="4"/>
  <c r="AK12" i="4"/>
  <c r="AK15" i="4" s="1"/>
  <c r="AK17" i="4" s="1"/>
  <c r="AP12" i="4"/>
  <c r="AP15" i="4" s="1"/>
  <c r="AH16" i="4"/>
  <c r="AF12" i="4"/>
  <c r="AF15" i="4" s="1"/>
  <c r="AF17" i="4" s="1"/>
  <c r="AC13" i="4"/>
  <c r="AC16" i="4" s="1"/>
  <c r="X13" i="4"/>
  <c r="X16" i="4" s="1"/>
  <c r="R12" i="4"/>
  <c r="R15" i="4" s="1"/>
  <c r="AN42" i="4"/>
  <c r="AN22" i="4"/>
  <c r="AN31" i="4"/>
  <c r="AP27" i="5" s="1"/>
  <c r="AA12" i="4"/>
  <c r="AA15" i="4" s="1"/>
  <c r="V13" i="4"/>
  <c r="G10" i="4" l="1"/>
  <c r="G47" i="4"/>
  <c r="AK22" i="4"/>
  <c r="AK31" i="4" s="1"/>
  <c r="AM27" i="5" s="1"/>
  <c r="M12" i="4"/>
  <c r="M15" i="4" s="1"/>
  <c r="W17" i="4"/>
  <c r="W56" i="4" s="1"/>
  <c r="AJ17" i="4"/>
  <c r="AJ56" i="4" s="1"/>
  <c r="AQ17" i="4"/>
  <c r="AD12" i="4"/>
  <c r="AD15" i="4" s="1"/>
  <c r="AD17" i="4" s="1"/>
  <c r="AD38" i="4" s="1"/>
  <c r="Y12" i="4"/>
  <c r="Y15" i="4" s="1"/>
  <c r="Y17" i="4" s="1"/>
  <c r="L17" i="4"/>
  <c r="F16" i="4"/>
  <c r="K56" i="4"/>
  <c r="AP17" i="4"/>
  <c r="AP38" i="4" s="1"/>
  <c r="U23" i="5"/>
  <c r="G18" i="4"/>
  <c r="K20" i="4"/>
  <c r="K21" i="4" s="1"/>
  <c r="K19" i="4"/>
  <c r="K41" i="4" s="1"/>
  <c r="R17" i="4"/>
  <c r="R20" i="4" s="1"/>
  <c r="G21" i="3"/>
  <c r="G26" i="3"/>
  <c r="J25" i="5"/>
  <c r="K25" i="5" s="1"/>
  <c r="L27" i="5"/>
  <c r="U31" i="4"/>
  <c r="W27" i="5" s="1"/>
  <c r="U22" i="4"/>
  <c r="U42" i="4"/>
  <c r="N22" i="5"/>
  <c r="L20" i="5"/>
  <c r="L21" i="5" s="1"/>
  <c r="H10" i="4"/>
  <c r="H16" i="4"/>
  <c r="R56" i="4"/>
  <c r="R38" i="4"/>
  <c r="O42" i="4"/>
  <c r="O22" i="4"/>
  <c r="O31" i="4" s="1"/>
  <c r="Q27" i="5" s="1"/>
  <c r="V15" i="4"/>
  <c r="G12" i="4"/>
  <c r="AB42" i="4"/>
  <c r="AB22" i="4"/>
  <c r="AB31" i="4" s="1"/>
  <c r="AD27" i="5" s="1"/>
  <c r="AS17" i="4"/>
  <c r="N42" i="4"/>
  <c r="N22" i="4"/>
  <c r="N31" i="4"/>
  <c r="P27" i="5" s="1"/>
  <c r="T56" i="4"/>
  <c r="T38" i="4"/>
  <c r="T19" i="4"/>
  <c r="T20" i="4"/>
  <c r="T39" i="4" s="1"/>
  <c r="AE56" i="4"/>
  <c r="AE38" i="4"/>
  <c r="AE19" i="4"/>
  <c r="AE20" i="4"/>
  <c r="AE21" i="4" s="1"/>
  <c r="AL42" i="4"/>
  <c r="AL22" i="4"/>
  <c r="AL31" i="4" s="1"/>
  <c r="F57" i="4"/>
  <c r="AD56" i="4"/>
  <c r="AD20" i="4"/>
  <c r="AD39" i="4" s="1"/>
  <c r="AD19" i="4"/>
  <c r="G57" i="4"/>
  <c r="AC17" i="4"/>
  <c r="F13" i="4"/>
  <c r="AN39" i="4"/>
  <c r="N12" i="4"/>
  <c r="N15" i="4" s="1"/>
  <c r="N17" i="4" s="1"/>
  <c r="S56" i="4"/>
  <c r="S38" i="4"/>
  <c r="S19" i="4"/>
  <c r="S20" i="4"/>
  <c r="S39" i="4" s="1"/>
  <c r="AM42" i="4"/>
  <c r="AM22" i="4"/>
  <c r="AM31" i="4" s="1"/>
  <c r="AO27" i="5" s="1"/>
  <c r="G31" i="5"/>
  <c r="AO22" i="5"/>
  <c r="AM20" i="5"/>
  <c r="AM21" i="5" s="1"/>
  <c r="H47" i="4"/>
  <c r="V16" i="4"/>
  <c r="G16" i="4" s="1"/>
  <c r="G13" i="4"/>
  <c r="AF56" i="4"/>
  <c r="AF38" i="4"/>
  <c r="AF20" i="4"/>
  <c r="AF21" i="4" s="1"/>
  <c r="AF19" i="4"/>
  <c r="Z22" i="5"/>
  <c r="X20" i="5"/>
  <c r="X21" i="5" s="1"/>
  <c r="X23" i="5" s="1"/>
  <c r="J15" i="4"/>
  <c r="AJ42" i="4"/>
  <c r="AJ22" i="4"/>
  <c r="AJ31" i="4" s="1"/>
  <c r="AL27" i="5" s="1"/>
  <c r="AE42" i="4"/>
  <c r="AE22" i="4"/>
  <c r="AE31" i="4" s="1"/>
  <c r="AG27" i="5" s="1"/>
  <c r="T22" i="5"/>
  <c r="R20" i="5"/>
  <c r="R21" i="5" s="1"/>
  <c r="R23" i="5" s="1"/>
  <c r="W38" i="4"/>
  <c r="W20" i="4"/>
  <c r="W19" i="4"/>
  <c r="M42" i="4"/>
  <c r="M22" i="4"/>
  <c r="M31" i="4" s="1"/>
  <c r="O27" i="5" s="1"/>
  <c r="H55" i="3"/>
  <c r="H56" i="3"/>
  <c r="AO12" i="4"/>
  <c r="AO15" i="4" s="1"/>
  <c r="AO17" i="4" s="1"/>
  <c r="AJ38" i="4"/>
  <c r="AJ19" i="4"/>
  <c r="AH21" i="5"/>
  <c r="F31" i="5"/>
  <c r="M17" i="4"/>
  <c r="V21" i="5"/>
  <c r="AA17" i="4"/>
  <c r="H13" i="4"/>
  <c r="O20" i="5"/>
  <c r="O21" i="5" s="1"/>
  <c r="O23" i="5" s="1"/>
  <c r="Q22" i="5"/>
  <c r="H57" i="4"/>
  <c r="U17" i="4"/>
  <c r="AI17" i="4"/>
  <c r="AG23" i="5"/>
  <c r="AQ19" i="4"/>
  <c r="P17" i="4"/>
  <c r="H18" i="4"/>
  <c r="F18" i="4"/>
  <c r="H31" i="5"/>
  <c r="P42" i="4"/>
  <c r="P22" i="4"/>
  <c r="P31" i="4" s="1"/>
  <c r="R27" i="5" s="1"/>
  <c r="Q12" i="4"/>
  <c r="Q15" i="4" s="1"/>
  <c r="Q17" i="4" s="1"/>
  <c r="F10" i="4"/>
  <c r="X27" i="5"/>
  <c r="Z30" i="4"/>
  <c r="AA26" i="4"/>
  <c r="Z23" i="4"/>
  <c r="O17" i="4"/>
  <c r="Y56" i="4"/>
  <c r="Y38" i="4"/>
  <c r="Y19" i="4"/>
  <c r="Y20" i="4"/>
  <c r="Y39" i="4" s="1"/>
  <c r="AA22" i="5"/>
  <c r="AA23" i="5" s="1"/>
  <c r="Y20" i="5"/>
  <c r="Y21" i="5" s="1"/>
  <c r="AD23" i="5"/>
  <c r="AR42" i="4"/>
  <c r="AR22" i="4"/>
  <c r="AR31" i="4" s="1"/>
  <c r="AL22" i="5"/>
  <c r="AJ20" i="5"/>
  <c r="AJ21" i="5" s="1"/>
  <c r="AJ23" i="5" s="1"/>
  <c r="AM22" i="5"/>
  <c r="AK20" i="5"/>
  <c r="AK21" i="5" s="1"/>
  <c r="AF42" i="4"/>
  <c r="AF22" i="4"/>
  <c r="AF31" i="4" s="1"/>
  <c r="AH27" i="5" s="1"/>
  <c r="AJ27" i="5"/>
  <c r="X17" i="4"/>
  <c r="F47" i="4"/>
  <c r="K23" i="5"/>
  <c r="G54" i="3"/>
  <c r="G23" i="3"/>
  <c r="G24" i="3" s="1"/>
  <c r="Z39" i="4"/>
  <c r="K39" i="4"/>
  <c r="J28" i="5"/>
  <c r="J43" i="4"/>
  <c r="F21" i="1"/>
  <c r="F21" i="3"/>
  <c r="F26" i="3"/>
  <c r="AB17" i="4"/>
  <c r="AL12" i="4"/>
  <c r="AL15" i="4" s="1"/>
  <c r="AL17" i="4" s="1"/>
  <c r="AN21" i="4"/>
  <c r="J22" i="5"/>
  <c r="W42" i="4"/>
  <c r="W22" i="4"/>
  <c r="W31" i="4"/>
  <c r="Y27" i="5" s="1"/>
  <c r="AS42" i="4"/>
  <c r="AS22" i="4"/>
  <c r="AS31" i="4" s="1"/>
  <c r="L22" i="5"/>
  <c r="J20" i="5"/>
  <c r="AP56" i="4"/>
  <c r="AK56" i="4"/>
  <c r="AK19" i="4"/>
  <c r="AK20" i="4"/>
  <c r="AK39" i="4" s="1"/>
  <c r="AK38" i="4"/>
  <c r="AR56" i="4"/>
  <c r="AR38" i="4"/>
  <c r="AR19" i="4"/>
  <c r="AR20" i="4"/>
  <c r="AR21" i="4" s="1"/>
  <c r="AR22" i="5"/>
  <c r="AR23" i="5" s="1"/>
  <c r="AP20" i="5"/>
  <c r="AP21" i="5" s="1"/>
  <c r="AP23" i="5" s="1"/>
  <c r="AM17" i="4"/>
  <c r="AG56" i="4"/>
  <c r="AG38" i="4"/>
  <c r="AG19" i="4"/>
  <c r="AG20" i="4"/>
  <c r="AG39" i="4" s="1"/>
  <c r="Z8" i="5"/>
  <c r="Z40" i="4"/>
  <c r="Z41" i="4"/>
  <c r="K8" i="5"/>
  <c r="K40" i="4"/>
  <c r="AO42" i="4"/>
  <c r="AO22" i="4"/>
  <c r="X42" i="4"/>
  <c r="X22" i="4"/>
  <c r="X31" i="4" s="1"/>
  <c r="AN8" i="5"/>
  <c r="AN41" i="4"/>
  <c r="AN40" i="4"/>
  <c r="AH15" i="4"/>
  <c r="F31" i="9"/>
  <c r="F24" i="3"/>
  <c r="F22" i="1"/>
  <c r="AQ21" i="4" l="1"/>
  <c r="AR26" i="4" s="1"/>
  <c r="H42" i="4"/>
  <c r="AQ20" i="4"/>
  <c r="AQ39" i="4" s="1"/>
  <c r="AJ20" i="4"/>
  <c r="AD21" i="4"/>
  <c r="F42" i="4"/>
  <c r="G42" i="4"/>
  <c r="AQ56" i="4"/>
  <c r="AP20" i="4"/>
  <c r="AP39" i="4" s="1"/>
  <c r="AP19" i="4"/>
  <c r="AQ38" i="4"/>
  <c r="L38" i="4"/>
  <c r="L56" i="4"/>
  <c r="L19" i="4"/>
  <c r="L20" i="4"/>
  <c r="H12" i="4"/>
  <c r="K30" i="4"/>
  <c r="K26" i="5" s="1"/>
  <c r="L26" i="4"/>
  <c r="K23" i="4"/>
  <c r="R39" i="4"/>
  <c r="R21" i="4"/>
  <c r="R23" i="4" s="1"/>
  <c r="G22" i="4"/>
  <c r="F22" i="4"/>
  <c r="S21" i="4"/>
  <c r="S30" i="4" s="1"/>
  <c r="R19" i="4"/>
  <c r="R41" i="4" s="1"/>
  <c r="AM23" i="5"/>
  <c r="H22" i="4"/>
  <c r="AJ39" i="4"/>
  <c r="T21" i="4"/>
  <c r="U26" i="4" s="1"/>
  <c r="Z27" i="5"/>
  <c r="G27" i="5" s="1"/>
  <c r="G31" i="4"/>
  <c r="AN27" i="5"/>
  <c r="G55" i="3"/>
  <c r="G56" i="3"/>
  <c r="AQ8" i="5"/>
  <c r="AQ41" i="4"/>
  <c r="AQ40" i="4"/>
  <c r="J17" i="4"/>
  <c r="F15" i="4"/>
  <c r="AG26" i="4"/>
  <c r="AF23" i="4"/>
  <c r="AF30" i="4"/>
  <c r="S23" i="4"/>
  <c r="AF26" i="4"/>
  <c r="AE23" i="4"/>
  <c r="AE30" i="4"/>
  <c r="G15" i="4"/>
  <c r="V17" i="4"/>
  <c r="AO31" i="4"/>
  <c r="AQ27" i="5" s="1"/>
  <c r="AP41" i="4"/>
  <c r="AP8" i="5"/>
  <c r="AP40" i="4"/>
  <c r="Y21" i="4"/>
  <c r="M56" i="4"/>
  <c r="M19" i="4"/>
  <c r="M20" i="4"/>
  <c r="M39" i="4" s="1"/>
  <c r="M38" i="4"/>
  <c r="W8" i="5"/>
  <c r="W41" i="4"/>
  <c r="W40" i="4"/>
  <c r="F12" i="4"/>
  <c r="AF8" i="5"/>
  <c r="AF41" i="4"/>
  <c r="AF40" i="4"/>
  <c r="F31" i="4"/>
  <c r="P56" i="4"/>
  <c r="P38" i="4"/>
  <c r="P20" i="4"/>
  <c r="P39" i="4" s="1"/>
  <c r="P19" i="4"/>
  <c r="AO56" i="4"/>
  <c r="AO38" i="4"/>
  <c r="AO19" i="4"/>
  <c r="AO20" i="4"/>
  <c r="AO39" i="4" s="1"/>
  <c r="W39" i="4"/>
  <c r="AF39" i="4"/>
  <c r="S8" i="5"/>
  <c r="S40" i="4"/>
  <c r="S41" i="4"/>
  <c r="AC56" i="4"/>
  <c r="AC19" i="4"/>
  <c r="AC20" i="4"/>
  <c r="AC39" i="4" s="1"/>
  <c r="AC38" i="4"/>
  <c r="F27" i="5"/>
  <c r="AG8" i="5"/>
  <c r="AG40" i="4"/>
  <c r="AG41" i="4"/>
  <c r="AK21" i="4"/>
  <c r="AN30" i="4"/>
  <c r="AO26" i="4"/>
  <c r="AN23" i="4"/>
  <c r="Y8" i="5"/>
  <c r="Y40" i="4"/>
  <c r="Y41" i="4"/>
  <c r="Q56" i="4"/>
  <c r="Q38" i="4"/>
  <c r="Q19" i="4"/>
  <c r="Q20" i="4"/>
  <c r="Q39" i="4" s="1"/>
  <c r="W21" i="4"/>
  <c r="T30" i="4"/>
  <c r="T23" i="4"/>
  <c r="AS56" i="4"/>
  <c r="AS19" i="4"/>
  <c r="AS20" i="4"/>
  <c r="AS39" i="4" s="1"/>
  <c r="AS38" i="4"/>
  <c r="L23" i="5"/>
  <c r="L25" i="5"/>
  <c r="M25" i="5" s="1"/>
  <c r="N25" i="5" s="1"/>
  <c r="O25" i="5" s="1"/>
  <c r="P25" i="5" s="1"/>
  <c r="Q25" i="5" s="1"/>
  <c r="R25" i="5" s="1"/>
  <c r="S25" i="5" s="1"/>
  <c r="T25" i="5" s="1"/>
  <c r="U25" i="5" s="1"/>
  <c r="J21" i="5"/>
  <c r="AL56" i="4"/>
  <c r="AL20" i="4"/>
  <c r="AL39" i="4" s="1"/>
  <c r="AL38" i="4"/>
  <c r="AL19" i="4"/>
  <c r="AD8" i="5"/>
  <c r="AD40" i="4"/>
  <c r="AD41" i="4"/>
  <c r="S26" i="4"/>
  <c r="F20" i="10"/>
  <c r="AR39" i="4"/>
  <c r="AK8" i="5"/>
  <c r="AK41" i="4"/>
  <c r="AK40" i="4"/>
  <c r="AB56" i="4"/>
  <c r="AB38" i="4"/>
  <c r="AB19" i="4"/>
  <c r="AB20" i="4"/>
  <c r="AB39" i="4" s="1"/>
  <c r="AI56" i="4"/>
  <c r="AI38" i="4"/>
  <c r="AI19" i="4"/>
  <c r="AI20" i="4"/>
  <c r="AI39" i="4" s="1"/>
  <c r="AJ21" i="4"/>
  <c r="T8" i="5"/>
  <c r="T40" i="4"/>
  <c r="T41" i="4"/>
  <c r="AR30" i="4"/>
  <c r="AS26" i="4"/>
  <c r="AR23" i="4"/>
  <c r="AR8" i="5"/>
  <c r="AR40" i="4"/>
  <c r="AR41" i="4"/>
  <c r="X56" i="4"/>
  <c r="X38" i="4"/>
  <c r="X20" i="4"/>
  <c r="X39" i="4" s="1"/>
  <c r="X19" i="4"/>
  <c r="O56" i="4"/>
  <c r="O38" i="4"/>
  <c r="O19" i="4"/>
  <c r="O20" i="4"/>
  <c r="O39" i="4" s="1"/>
  <c r="U56" i="4"/>
  <c r="U19" i="4"/>
  <c r="U38" i="4"/>
  <c r="U20" i="4"/>
  <c r="U39" i="4" s="1"/>
  <c r="AA56" i="4"/>
  <c r="AA38" i="4"/>
  <c r="AA19" i="4"/>
  <c r="AA20" i="4"/>
  <c r="AA39" i="4" s="1"/>
  <c r="AE26" i="4"/>
  <c r="AD23" i="4"/>
  <c r="AD30" i="4"/>
  <c r="AE39" i="4"/>
  <c r="AG21" i="4"/>
  <c r="H15" i="4"/>
  <c r="AH17" i="4"/>
  <c r="AM56" i="4"/>
  <c r="AM38" i="4"/>
  <c r="AM19" i="4"/>
  <c r="AM20" i="4"/>
  <c r="AM39" i="4" s="1"/>
  <c r="Z26" i="5"/>
  <c r="Z37" i="4"/>
  <c r="AJ8" i="5"/>
  <c r="AJ40" i="4"/>
  <c r="AJ41" i="4"/>
  <c r="N56" i="4"/>
  <c r="N20" i="4"/>
  <c r="N39" i="4" s="1"/>
  <c r="N21" i="4"/>
  <c r="N38" i="4"/>
  <c r="N19" i="4"/>
  <c r="AE8" i="5"/>
  <c r="AE41" i="4"/>
  <c r="AE40" i="4"/>
  <c r="R30" i="4" l="1"/>
  <c r="R26" i="5" s="1"/>
  <c r="L21" i="4"/>
  <c r="L39" i="4"/>
  <c r="AQ23" i="4"/>
  <c r="L40" i="4"/>
  <c r="L41" i="4"/>
  <c r="L8" i="5"/>
  <c r="R40" i="4"/>
  <c r="AQ30" i="4"/>
  <c r="K37" i="4"/>
  <c r="T26" i="4"/>
  <c r="AP21" i="4"/>
  <c r="R8" i="5"/>
  <c r="P21" i="4"/>
  <c r="P30" i="4" s="1"/>
  <c r="H27" i="5"/>
  <c r="AS21" i="4"/>
  <c r="AS23" i="4" s="1"/>
  <c r="AC21" i="4"/>
  <c r="AC30" i="4" s="1"/>
  <c r="AL21" i="4"/>
  <c r="AA21" i="4"/>
  <c r="AA23" i="4" s="1"/>
  <c r="AP30" i="4"/>
  <c r="AQ26" i="4"/>
  <c r="AP23" i="4"/>
  <c r="AG30" i="4"/>
  <c r="AH26" i="4"/>
  <c r="AG23" i="4"/>
  <c r="O8" i="5"/>
  <c r="O41" i="4"/>
  <c r="O40" i="4"/>
  <c r="AR26" i="5"/>
  <c r="AR37" i="4"/>
  <c r="AB8" i="5"/>
  <c r="AB40" i="4"/>
  <c r="AB41" i="4"/>
  <c r="W30" i="4"/>
  <c r="X26" i="4"/>
  <c r="W23" i="4"/>
  <c r="AN26" i="5"/>
  <c r="AN37" i="4"/>
  <c r="P8" i="5"/>
  <c r="P40" i="4"/>
  <c r="P41" i="4"/>
  <c r="M8" i="5"/>
  <c r="M40" i="4"/>
  <c r="M41" i="4"/>
  <c r="J56" i="4"/>
  <c r="J38" i="4"/>
  <c r="F38" i="4" s="1"/>
  <c r="J19" i="4"/>
  <c r="J20" i="4"/>
  <c r="J21" i="4" s="1"/>
  <c r="F17" i="4"/>
  <c r="U8" i="5"/>
  <c r="U40" i="4"/>
  <c r="U41" i="4"/>
  <c r="O21" i="4"/>
  <c r="AL30" i="4"/>
  <c r="AM26" i="4"/>
  <c r="AL23" i="4"/>
  <c r="AK30" i="4"/>
  <c r="AL26" i="4"/>
  <c r="AK23" i="4"/>
  <c r="AC8" i="5"/>
  <c r="AC40" i="4"/>
  <c r="AC41" i="4"/>
  <c r="H31" i="4"/>
  <c r="AM8" i="5"/>
  <c r="AM41" i="4"/>
  <c r="AM40" i="4"/>
  <c r="Y30" i="4"/>
  <c r="Z26" i="4"/>
  <c r="Y23" i="4"/>
  <c r="S26" i="5"/>
  <c r="S37" i="4"/>
  <c r="T26" i="5"/>
  <c r="T37" i="4"/>
  <c r="N8" i="5"/>
  <c r="N40" i="4"/>
  <c r="N41" i="4"/>
  <c r="O26" i="4"/>
  <c r="N23" i="4"/>
  <c r="N30" i="4"/>
  <c r="AM21" i="4"/>
  <c r="AA8" i="5"/>
  <c r="AA40" i="4"/>
  <c r="AA41" i="4"/>
  <c r="AS8" i="5"/>
  <c r="AS41" i="4"/>
  <c r="AS40" i="4"/>
  <c r="AO21" i="4"/>
  <c r="V56" i="4"/>
  <c r="V38" i="4"/>
  <c r="G38" i="4" s="1"/>
  <c r="V20" i="4"/>
  <c r="V21" i="4" s="1"/>
  <c r="G17" i="4"/>
  <c r="G56" i="4" s="1"/>
  <c r="V19" i="4"/>
  <c r="AI8" i="5"/>
  <c r="AI40" i="4"/>
  <c r="AI41" i="4"/>
  <c r="AJ30" i="4"/>
  <c r="AK26" i="4"/>
  <c r="AJ23" i="4"/>
  <c r="Q8" i="5"/>
  <c r="Q40" i="4"/>
  <c r="Q41" i="4"/>
  <c r="AO8" i="5"/>
  <c r="AO41" i="4"/>
  <c r="AO40" i="4"/>
  <c r="AF26" i="5"/>
  <c r="AF37" i="4"/>
  <c r="Q26" i="4"/>
  <c r="P23" i="4"/>
  <c r="AD26" i="5"/>
  <c r="AD37" i="4"/>
  <c r="AQ26" i="5"/>
  <c r="AQ37" i="4"/>
  <c r="X21" i="4"/>
  <c r="AI21" i="4"/>
  <c r="J24" i="5"/>
  <c r="K24" i="5" s="1"/>
  <c r="L24" i="5" s="1"/>
  <c r="M24" i="5" s="1"/>
  <c r="J23" i="5"/>
  <c r="Q21" i="4"/>
  <c r="AE26" i="5"/>
  <c r="AE37" i="4"/>
  <c r="AL8" i="5"/>
  <c r="AL41" i="4"/>
  <c r="AL40" i="4"/>
  <c r="AH56" i="4"/>
  <c r="AH38" i="4"/>
  <c r="H38" i="4" s="1"/>
  <c r="H17" i="4"/>
  <c r="H56" i="4" s="1"/>
  <c r="AH19" i="4"/>
  <c r="AH20" i="4"/>
  <c r="U21" i="4"/>
  <c r="X8" i="5"/>
  <c r="X41" i="4"/>
  <c r="X40" i="4"/>
  <c r="AB21" i="4"/>
  <c r="V25" i="5"/>
  <c r="W25" i="5" s="1"/>
  <c r="X25" i="5" s="1"/>
  <c r="Y25" i="5" s="1"/>
  <c r="Z25" i="5" s="1"/>
  <c r="AA25" i="5" s="1"/>
  <c r="AB25" i="5" s="1"/>
  <c r="AC25" i="5" s="1"/>
  <c r="AD25" i="5" s="1"/>
  <c r="AE25" i="5" s="1"/>
  <c r="AF25" i="5" s="1"/>
  <c r="AG25" i="5" s="1"/>
  <c r="F25" i="5"/>
  <c r="M21" i="4"/>
  <c r="AS30" i="4" l="1"/>
  <c r="AB26" i="4"/>
  <c r="AC23" i="4"/>
  <c r="AA30" i="4"/>
  <c r="AA26" i="5" s="1"/>
  <c r="AD26" i="4"/>
  <c r="R37" i="4"/>
  <c r="L30" i="4"/>
  <c r="M26" i="4"/>
  <c r="L23" i="4"/>
  <c r="J30" i="4"/>
  <c r="F21" i="4"/>
  <c r="F34" i="7" s="1"/>
  <c r="K26" i="4"/>
  <c r="J23" i="4"/>
  <c r="V30" i="4"/>
  <c r="W26" i="4"/>
  <c r="V23" i="4"/>
  <c r="G21" i="4"/>
  <c r="G25" i="5"/>
  <c r="AH25" i="5"/>
  <c r="AI25" i="5" s="1"/>
  <c r="AJ25" i="5" s="1"/>
  <c r="AK25" i="5" s="1"/>
  <c r="AL25" i="5" s="1"/>
  <c r="AM25" i="5" s="1"/>
  <c r="AN25" i="5" s="1"/>
  <c r="AO25" i="5" s="1"/>
  <c r="AP25" i="5" s="1"/>
  <c r="AQ25" i="5" s="1"/>
  <c r="AR25" i="5" s="1"/>
  <c r="AS25" i="5" s="1"/>
  <c r="H25" i="5" s="1"/>
  <c r="AH39" i="4"/>
  <c r="H39" i="4" s="1"/>
  <c r="H20" i="4"/>
  <c r="AO30" i="4"/>
  <c r="AP26" i="4"/>
  <c r="AO23" i="4"/>
  <c r="AS26" i="5"/>
  <c r="AS37" i="4"/>
  <c r="J40" i="4"/>
  <c r="F40" i="4" s="1"/>
  <c r="J8" i="5"/>
  <c r="J41" i="4"/>
  <c r="F41" i="4" s="1"/>
  <c r="F19" i="4"/>
  <c r="W26" i="5"/>
  <c r="W37" i="4"/>
  <c r="AP26" i="5"/>
  <c r="AP37" i="4"/>
  <c r="AB30" i="4"/>
  <c r="AC26" i="4"/>
  <c r="AB23" i="4"/>
  <c r="AI30" i="4"/>
  <c r="AJ26" i="4"/>
  <c r="AI23" i="4"/>
  <c r="P26" i="5"/>
  <c r="P37" i="4"/>
  <c r="AJ26" i="5"/>
  <c r="AJ37" i="4"/>
  <c r="V8" i="5"/>
  <c r="V40" i="4"/>
  <c r="G40" i="4" s="1"/>
  <c r="V41" i="4"/>
  <c r="G41" i="4" s="1"/>
  <c r="G19" i="4"/>
  <c r="AM30" i="4"/>
  <c r="AN26" i="4"/>
  <c r="AM23" i="4"/>
  <c r="Y26" i="5"/>
  <c r="Y37" i="4"/>
  <c r="AL26" i="5"/>
  <c r="AL37" i="4"/>
  <c r="AH8" i="5"/>
  <c r="AH40" i="4"/>
  <c r="H40" i="4" s="1"/>
  <c r="AH41" i="4"/>
  <c r="H41" i="4" s="1"/>
  <c r="H19" i="4"/>
  <c r="M30" i="4"/>
  <c r="N26" i="4"/>
  <c r="M23" i="4"/>
  <c r="N26" i="5"/>
  <c r="N37" i="4"/>
  <c r="P26" i="4"/>
  <c r="O23" i="4"/>
  <c r="O30" i="4"/>
  <c r="AC26" i="5"/>
  <c r="AC37" i="4"/>
  <c r="X30" i="4"/>
  <c r="Y26" i="4"/>
  <c r="X23" i="4"/>
  <c r="Q30" i="4"/>
  <c r="R26" i="4"/>
  <c r="Q23" i="4"/>
  <c r="G20" i="4"/>
  <c r="V39" i="4"/>
  <c r="G39" i="4" s="1"/>
  <c r="AG26" i="5"/>
  <c r="AG37" i="4"/>
  <c r="U30" i="4"/>
  <c r="V26" i="4"/>
  <c r="U23" i="4"/>
  <c r="AK26" i="5"/>
  <c r="AK37" i="4"/>
  <c r="F33" i="7"/>
  <c r="F56" i="4"/>
  <c r="AH21" i="4"/>
  <c r="J39" i="4"/>
  <c r="F39" i="4" s="1"/>
  <c r="F20" i="4"/>
  <c r="L37" i="4" l="1"/>
  <c r="L26" i="5"/>
  <c r="AA37" i="4"/>
  <c r="AH30" i="4"/>
  <c r="H21" i="4"/>
  <c r="AI26" i="4"/>
  <c r="AH23" i="4"/>
  <c r="H23" i="4" s="1"/>
  <c r="K140" i="11"/>
  <c r="G21" i="11"/>
  <c r="F9" i="1"/>
  <c r="M26" i="5"/>
  <c r="M37" i="4"/>
  <c r="AM26" i="5"/>
  <c r="AM37" i="4"/>
  <c r="G23" i="4"/>
  <c r="Q26" i="5"/>
  <c r="Q37" i="4"/>
  <c r="AB26" i="5"/>
  <c r="AB37" i="4"/>
  <c r="J16" i="5"/>
  <c r="F8" i="5"/>
  <c r="J11" i="5"/>
  <c r="J8" i="10" s="1"/>
  <c r="AO26" i="5"/>
  <c r="AO37" i="4"/>
  <c r="N21" i="11"/>
  <c r="H9" i="1"/>
  <c r="K21" i="11"/>
  <c r="G9" i="1"/>
  <c r="V26" i="5"/>
  <c r="V37" i="4"/>
  <c r="G30" i="4"/>
  <c r="F23" i="4"/>
  <c r="O26" i="5"/>
  <c r="O37" i="4"/>
  <c r="K28" i="4"/>
  <c r="F26" i="4"/>
  <c r="G26" i="4"/>
  <c r="X26" i="5"/>
  <c r="X37" i="4"/>
  <c r="H8" i="5"/>
  <c r="G8" i="5"/>
  <c r="U26" i="5"/>
  <c r="U37" i="4"/>
  <c r="AI26" i="5"/>
  <c r="AI37" i="4"/>
  <c r="J26" i="5"/>
  <c r="J37" i="4"/>
  <c r="F37" i="4" s="1"/>
  <c r="J33" i="4"/>
  <c r="F30" i="4"/>
  <c r="G37" i="4" l="1"/>
  <c r="J34" i="4"/>
  <c r="J17" i="5"/>
  <c r="K14" i="5" s="1"/>
  <c r="F26" i="5"/>
  <c r="J29" i="5"/>
  <c r="G26" i="5"/>
  <c r="K14" i="10"/>
  <c r="K29" i="4"/>
  <c r="L27" i="4"/>
  <c r="H26" i="4"/>
  <c r="J12" i="10"/>
  <c r="J34" i="5"/>
  <c r="J55" i="4"/>
  <c r="J36" i="4"/>
  <c r="J30" i="5"/>
  <c r="J13" i="10"/>
  <c r="K9" i="5"/>
  <c r="AH26" i="5"/>
  <c r="AH37" i="4"/>
  <c r="H37" i="4" s="1"/>
  <c r="H30" i="4"/>
  <c r="J35" i="5" l="1"/>
  <c r="J39" i="5"/>
  <c r="J40" i="5" s="1"/>
  <c r="J9" i="10"/>
  <c r="K15" i="5"/>
  <c r="K16" i="5" s="1"/>
  <c r="K11" i="5"/>
  <c r="J46" i="4"/>
  <c r="L28" i="4"/>
  <c r="K45" i="4"/>
  <c r="K32" i="4"/>
  <c r="K35" i="4"/>
  <c r="K44" i="4"/>
  <c r="H26" i="5"/>
  <c r="J43" i="5" l="1"/>
  <c r="J11" i="10" s="1"/>
  <c r="K34" i="4"/>
  <c r="K17" i="5"/>
  <c r="L14" i="5" s="1"/>
  <c r="K28" i="5"/>
  <c r="K43" i="4"/>
  <c r="K30" i="5" s="1"/>
  <c r="K33" i="4"/>
  <c r="J48" i="4"/>
  <c r="K13" i="10"/>
  <c r="L9" i="5"/>
  <c r="J38" i="5"/>
  <c r="K36" i="5" s="1"/>
  <c r="L14" i="10"/>
  <c r="M27" i="4"/>
  <c r="L29" i="4"/>
  <c r="K8" i="10"/>
  <c r="K35" i="5" l="1"/>
  <c r="K39" i="5"/>
  <c r="L15" i="5"/>
  <c r="L16" i="5" s="1"/>
  <c r="L17" i="5" s="1"/>
  <c r="M14" i="5" s="1"/>
  <c r="L11" i="5"/>
  <c r="L8" i="10" s="1"/>
  <c r="L45" i="4"/>
  <c r="L32" i="4"/>
  <c r="L44" i="4"/>
  <c r="L35" i="4"/>
  <c r="K12" i="10"/>
  <c r="K34" i="5"/>
  <c r="K55" i="4"/>
  <c r="K36" i="4"/>
  <c r="K29" i="5"/>
  <c r="M28" i="4"/>
  <c r="J44" i="5"/>
  <c r="K42" i="5"/>
  <c r="J52" i="1"/>
  <c r="J52" i="4"/>
  <c r="K9" i="10"/>
  <c r="L9" i="10" l="1"/>
  <c r="J46" i="5"/>
  <c r="J54" i="4"/>
  <c r="K38" i="5"/>
  <c r="L36" i="5" s="1"/>
  <c r="M14" i="10"/>
  <c r="N27" i="4"/>
  <c r="M29" i="4"/>
  <c r="L28" i="5"/>
  <c r="L43" i="4"/>
  <c r="L33" i="4"/>
  <c r="K46" i="4"/>
  <c r="K40" i="5"/>
  <c r="L13" i="10"/>
  <c r="M9" i="5"/>
  <c r="L30" i="5"/>
  <c r="L34" i="4"/>
  <c r="J10" i="10" l="1"/>
  <c r="N28" i="4"/>
  <c r="M44" i="4"/>
  <c r="M32" i="4"/>
  <c r="M45" i="4"/>
  <c r="M35" i="4"/>
  <c r="K48" i="4"/>
  <c r="L35" i="5"/>
  <c r="L39" i="5"/>
  <c r="L34" i="5"/>
  <c r="L12" i="10"/>
  <c r="L55" i="4"/>
  <c r="L36" i="4"/>
  <c r="M15" i="5"/>
  <c r="M16" i="5" s="1"/>
  <c r="M11" i="5"/>
  <c r="M8" i="10" s="1"/>
  <c r="K43" i="5"/>
  <c r="L29" i="5"/>
  <c r="M28" i="5" l="1"/>
  <c r="M43" i="4"/>
  <c r="M33" i="4"/>
  <c r="L46" i="4"/>
  <c r="K52" i="4"/>
  <c r="N14" i="10"/>
  <c r="O27" i="4"/>
  <c r="O28" i="4" s="1"/>
  <c r="N29" i="4"/>
  <c r="M34" i="4"/>
  <c r="M17" i="5"/>
  <c r="N14" i="5" s="1"/>
  <c r="L40" i="5"/>
  <c r="M30" i="5"/>
  <c r="L38" i="5"/>
  <c r="M36" i="5" s="1"/>
  <c r="L42" i="5"/>
  <c r="K44" i="5"/>
  <c r="K52" i="1"/>
  <c r="M13" i="10"/>
  <c r="N9" i="5"/>
  <c r="K11" i="10"/>
  <c r="M9" i="10" l="1"/>
  <c r="M37" i="5"/>
  <c r="M39" i="5" s="1"/>
  <c r="K46" i="5"/>
  <c r="K54" i="4"/>
  <c r="L48" i="4"/>
  <c r="M35" i="5"/>
  <c r="N45" i="4"/>
  <c r="N32" i="4"/>
  <c r="N35" i="4"/>
  <c r="N44" i="4"/>
  <c r="L43" i="5"/>
  <c r="O14" i="10"/>
  <c r="P27" i="4"/>
  <c r="P28" i="4" s="1"/>
  <c r="O29" i="4"/>
  <c r="M12" i="10"/>
  <c r="M34" i="5"/>
  <c r="M55" i="4"/>
  <c r="M36" i="4"/>
  <c r="N11" i="5"/>
  <c r="N8" i="10"/>
  <c r="N15" i="5"/>
  <c r="N16" i="5" s="1"/>
  <c r="L11" i="10"/>
  <c r="M29" i="5"/>
  <c r="M38" i="5" l="1"/>
  <c r="N36" i="5" s="1"/>
  <c r="N28" i="5"/>
  <c r="N29" i="5" s="1"/>
  <c r="N43" i="4"/>
  <c r="N30" i="5" s="1"/>
  <c r="N33" i="4"/>
  <c r="N34" i="4"/>
  <c r="N13" i="10"/>
  <c r="O9" i="5"/>
  <c r="M40" i="5"/>
  <c r="K10" i="10"/>
  <c r="O35" i="4"/>
  <c r="O44" i="4"/>
  <c r="O45" i="4"/>
  <c r="O32" i="4"/>
  <c r="M46" i="4"/>
  <c r="M42" i="5"/>
  <c r="L44" i="5"/>
  <c r="L52" i="1"/>
  <c r="N17" i="5"/>
  <c r="O14" i="5" s="1"/>
  <c r="P14" i="10"/>
  <c r="Q27" i="4"/>
  <c r="Q28" i="4" s="1"/>
  <c r="P29" i="4"/>
  <c r="L52" i="4"/>
  <c r="N9" i="10" l="1"/>
  <c r="N35" i="5"/>
  <c r="M43" i="5"/>
  <c r="M48" i="4"/>
  <c r="O28" i="5"/>
  <c r="O29" i="5" s="1"/>
  <c r="O43" i="4"/>
  <c r="O33" i="4"/>
  <c r="O11" i="5"/>
  <c r="O8" i="10" s="1"/>
  <c r="O15" i="5"/>
  <c r="O16" i="5" s="1"/>
  <c r="O34" i="4" s="1"/>
  <c r="N12" i="10"/>
  <c r="N34" i="5"/>
  <c r="N38" i="5" s="1"/>
  <c r="O36" i="5" s="1"/>
  <c r="N55" i="4"/>
  <c r="N36" i="4"/>
  <c r="P44" i="4"/>
  <c r="P35" i="4"/>
  <c r="P45" i="4"/>
  <c r="P32" i="4"/>
  <c r="Q14" i="10"/>
  <c r="Q29" i="4"/>
  <c r="R27" i="4"/>
  <c r="R28" i="4" s="1"/>
  <c r="M11" i="10"/>
  <c r="L46" i="5"/>
  <c r="L54" i="4"/>
  <c r="O30" i="5"/>
  <c r="O12" i="10" l="1"/>
  <c r="O34" i="5"/>
  <c r="O55" i="4"/>
  <c r="O36" i="4"/>
  <c r="O46" i="4" s="1"/>
  <c r="O48" i="4" s="1"/>
  <c r="O52" i="4" s="1"/>
  <c r="N46" i="4"/>
  <c r="N42" i="5"/>
  <c r="M44" i="5"/>
  <c r="M52" i="1"/>
  <c r="O35" i="5"/>
  <c r="O39" i="5"/>
  <c r="O40" i="5" s="1"/>
  <c r="O17" i="5"/>
  <c r="P28" i="5"/>
  <c r="P29" i="5" s="1"/>
  <c r="P43" i="4"/>
  <c r="P33" i="4"/>
  <c r="Q44" i="4"/>
  <c r="Q45" i="4"/>
  <c r="Q35" i="4"/>
  <c r="Q32" i="4"/>
  <c r="R14" i="10"/>
  <c r="R29" i="4"/>
  <c r="S27" i="4"/>
  <c r="S28" i="4" s="1"/>
  <c r="L10" i="10"/>
  <c r="P30" i="5"/>
  <c r="O13" i="10"/>
  <c r="P9" i="5"/>
  <c r="M52" i="4"/>
  <c r="O38" i="5" l="1"/>
  <c r="P36" i="5" s="1"/>
  <c r="P37" i="5" s="1"/>
  <c r="N48" i="4"/>
  <c r="O54" i="4"/>
  <c r="S14" i="10"/>
  <c r="S29" i="4"/>
  <c r="T27" i="4"/>
  <c r="T28" i="4" s="1"/>
  <c r="R44" i="4"/>
  <c r="R45" i="4"/>
  <c r="R35" i="4"/>
  <c r="R32" i="4"/>
  <c r="P10" i="5"/>
  <c r="P14" i="5"/>
  <c r="O9" i="10"/>
  <c r="P12" i="10"/>
  <c r="P34" i="5"/>
  <c r="M46" i="5"/>
  <c r="M54" i="4"/>
  <c r="Q28" i="5"/>
  <c r="Q29" i="5" s="1"/>
  <c r="Q43" i="4"/>
  <c r="Q30" i="5" s="1"/>
  <c r="Q35" i="5" s="1"/>
  <c r="Q33" i="4"/>
  <c r="S45" i="4" l="1"/>
  <c r="S44" i="4"/>
  <c r="S32" i="4"/>
  <c r="S35" i="4"/>
  <c r="M10" i="10"/>
  <c r="Q12" i="10"/>
  <c r="Q34" i="5"/>
  <c r="P15" i="5"/>
  <c r="P16" i="5" s="1"/>
  <c r="P34" i="4" s="1"/>
  <c r="P36" i="4" s="1"/>
  <c r="P46" i="4" s="1"/>
  <c r="P48" i="4" s="1"/>
  <c r="N52" i="4"/>
  <c r="T14" i="10"/>
  <c r="T29" i="4"/>
  <c r="U27" i="4"/>
  <c r="R28" i="5"/>
  <c r="R29" i="5" s="1"/>
  <c r="R43" i="4"/>
  <c r="R30" i="5" s="1"/>
  <c r="R33" i="4"/>
  <c r="P13" i="5"/>
  <c r="P11" i="5"/>
  <c r="R35" i="5" l="1"/>
  <c r="R39" i="5"/>
  <c r="R40" i="5" s="1"/>
  <c r="R34" i="5"/>
  <c r="R12" i="10"/>
  <c r="S28" i="5"/>
  <c r="S29" i="5" s="1"/>
  <c r="S43" i="4"/>
  <c r="S30" i="5" s="1"/>
  <c r="S33" i="4"/>
  <c r="P13" i="10"/>
  <c r="Q9" i="5"/>
  <c r="U28" i="4"/>
  <c r="F27" i="4"/>
  <c r="P17" i="5"/>
  <c r="Q14" i="5" s="1"/>
  <c r="T45" i="4"/>
  <c r="T44" i="4"/>
  <c r="T32" i="4"/>
  <c r="T35" i="4"/>
  <c r="P52" i="4"/>
  <c r="P55" i="4"/>
  <c r="P8" i="10"/>
  <c r="N54" i="4"/>
  <c r="P35" i="5"/>
  <c r="P38" i="5" s="1"/>
  <c r="Q36" i="5" s="1"/>
  <c r="Q38" i="5" s="1"/>
  <c r="R36" i="5" s="1"/>
  <c r="N20" i="5"/>
  <c r="P22" i="5"/>
  <c r="R38" i="5" l="1"/>
  <c r="S36" i="5" s="1"/>
  <c r="P23" i="5"/>
  <c r="P39" i="5" s="1"/>
  <c r="P40" i="5" s="1"/>
  <c r="U14" i="10"/>
  <c r="U29" i="4"/>
  <c r="F28" i="4"/>
  <c r="V27" i="4"/>
  <c r="P54" i="4"/>
  <c r="S12" i="10"/>
  <c r="S34" i="5"/>
  <c r="N21" i="5"/>
  <c r="Q15" i="5"/>
  <c r="Q16" i="5" s="1"/>
  <c r="Q34" i="4" s="1"/>
  <c r="Q36" i="4" s="1"/>
  <c r="Q46" i="4" s="1"/>
  <c r="Q48" i="4" s="1"/>
  <c r="Q11" i="5"/>
  <c r="Q8" i="10" s="1"/>
  <c r="T28" i="5"/>
  <c r="T29" i="5" s="1"/>
  <c r="T43" i="4"/>
  <c r="T30" i="5" s="1"/>
  <c r="T35" i="5" s="1"/>
  <c r="T33" i="4"/>
  <c r="S37" i="5"/>
  <c r="F37" i="5" s="1"/>
  <c r="P9" i="10"/>
  <c r="Q52" i="4" l="1"/>
  <c r="Q55" i="4"/>
  <c r="Q17" i="5"/>
  <c r="R14" i="5" s="1"/>
  <c r="Q13" i="10"/>
  <c r="R9" i="5"/>
  <c r="V28" i="4"/>
  <c r="N23" i="5"/>
  <c r="N24" i="5"/>
  <c r="T12" i="10"/>
  <c r="T34" i="5"/>
  <c r="U44" i="4"/>
  <c r="F44" i="4" s="1"/>
  <c r="U32" i="4"/>
  <c r="U45" i="4"/>
  <c r="F45" i="4" s="1"/>
  <c r="U35" i="4"/>
  <c r="F29" i="4"/>
  <c r="U28" i="5" l="1"/>
  <c r="U43" i="4"/>
  <c r="F43" i="4" s="1"/>
  <c r="U33" i="4"/>
  <c r="F32" i="4"/>
  <c r="F11" i="1" s="1"/>
  <c r="U30" i="5"/>
  <c r="F35" i="4"/>
  <c r="N39" i="5"/>
  <c r="N40" i="5" s="1"/>
  <c r="Q9" i="10"/>
  <c r="O24" i="5"/>
  <c r="N46" i="5"/>
  <c r="Q54" i="4"/>
  <c r="V14" i="10"/>
  <c r="V29" i="4"/>
  <c r="W27" i="4"/>
  <c r="R11" i="5"/>
  <c r="R15" i="5"/>
  <c r="R16" i="5" s="1"/>
  <c r="R34" i="4" s="1"/>
  <c r="R36" i="4" s="1"/>
  <c r="R46" i="4" s="1"/>
  <c r="R48" i="4" s="1"/>
  <c r="R17" i="5" l="1"/>
  <c r="S14" i="5" s="1"/>
  <c r="R13" i="10"/>
  <c r="S9" i="5"/>
  <c r="R52" i="4"/>
  <c r="R55" i="4"/>
  <c r="U12" i="10"/>
  <c r="U34" i="5"/>
  <c r="F34" i="5" s="1"/>
  <c r="F33" i="4"/>
  <c r="U35" i="5"/>
  <c r="U39" i="5"/>
  <c r="F30" i="5"/>
  <c r="P24" i="5"/>
  <c r="O46" i="5"/>
  <c r="O10" i="10" s="1"/>
  <c r="R8" i="10"/>
  <c r="W28" i="4"/>
  <c r="V45" i="4"/>
  <c r="V44" i="4"/>
  <c r="V32" i="4"/>
  <c r="V35" i="4"/>
  <c r="N43" i="5"/>
  <c r="N10" i="10"/>
  <c r="N11" i="10"/>
  <c r="U29" i="5"/>
  <c r="F28" i="5"/>
  <c r="R9" i="10" l="1"/>
  <c r="R54" i="4"/>
  <c r="V28" i="5"/>
  <c r="V43" i="4"/>
  <c r="V30" i="5" s="1"/>
  <c r="V33" i="4"/>
  <c r="S10" i="5"/>
  <c r="W14" i="10"/>
  <c r="X27" i="4"/>
  <c r="W29" i="4"/>
  <c r="G17" i="11"/>
  <c r="F35" i="7"/>
  <c r="K179" i="11" s="1"/>
  <c r="F10" i="1"/>
  <c r="K45" i="1" s="1"/>
  <c r="N44" i="5"/>
  <c r="O42" i="5"/>
  <c r="N52" i="1"/>
  <c r="U40" i="5"/>
  <c r="F29" i="5"/>
  <c r="P46" i="5"/>
  <c r="P10" i="10" s="1"/>
  <c r="X28" i="4" l="1"/>
  <c r="V12" i="10"/>
  <c r="V34" i="5"/>
  <c r="S13" i="5"/>
  <c r="S15" i="5" s="1"/>
  <c r="S16" i="5" s="1"/>
  <c r="S34" i="4" s="1"/>
  <c r="S36" i="4" s="1"/>
  <c r="S46" i="4" s="1"/>
  <c r="S48" i="4" s="1"/>
  <c r="F10" i="5"/>
  <c r="V29" i="5"/>
  <c r="S11" i="5"/>
  <c r="S8" i="10" s="1"/>
  <c r="W45" i="4"/>
  <c r="W35" i="4"/>
  <c r="W44" i="4"/>
  <c r="W32" i="4"/>
  <c r="O43" i="5"/>
  <c r="W28" i="5" l="1"/>
  <c r="W43" i="4"/>
  <c r="W33" i="4"/>
  <c r="W30" i="5"/>
  <c r="S35" i="5"/>
  <c r="S22" i="5"/>
  <c r="Q20" i="5"/>
  <c r="F13" i="5"/>
  <c r="S17" i="5"/>
  <c r="T14" i="5" s="1"/>
  <c r="S52" i="4"/>
  <c r="S55" i="4"/>
  <c r="O44" i="5"/>
  <c r="P42" i="5"/>
  <c r="O52" i="1"/>
  <c r="X14" i="10"/>
  <c r="Y27" i="4"/>
  <c r="X29" i="4"/>
  <c r="O11" i="10"/>
  <c r="S13" i="10"/>
  <c r="T9" i="5"/>
  <c r="Y28" i="4" l="1"/>
  <c r="S38" i="5"/>
  <c r="T36" i="5" s="1"/>
  <c r="T38" i="5" s="1"/>
  <c r="U36" i="5" s="1"/>
  <c r="U38" i="5" s="1"/>
  <c r="F35" i="5"/>
  <c r="W35" i="5"/>
  <c r="T15" i="5"/>
  <c r="T16" i="5" s="1"/>
  <c r="T34" i="4" s="1"/>
  <c r="T36" i="4" s="1"/>
  <c r="T46" i="4" s="1"/>
  <c r="T48" i="4" s="1"/>
  <c r="T11" i="5"/>
  <c r="P43" i="5"/>
  <c r="S9" i="10"/>
  <c r="X44" i="4"/>
  <c r="X45" i="4"/>
  <c r="X35" i="4"/>
  <c r="X32" i="4"/>
  <c r="W12" i="10"/>
  <c r="W34" i="5"/>
  <c r="Q21" i="5"/>
  <c r="S54" i="4"/>
  <c r="S23" i="5"/>
  <c r="S39" i="5" s="1"/>
  <c r="S40" i="5" s="1"/>
  <c r="F22" i="5"/>
  <c r="W29" i="5"/>
  <c r="T17" i="5" l="1"/>
  <c r="U14" i="5" s="1"/>
  <c r="P44" i="5"/>
  <c r="Q42" i="5"/>
  <c r="P52" i="1"/>
  <c r="P11" i="10"/>
  <c r="T13" i="10"/>
  <c r="U9" i="5"/>
  <c r="V36" i="5"/>
  <c r="F38" i="5"/>
  <c r="T52" i="4"/>
  <c r="T55" i="4"/>
  <c r="X28" i="5"/>
  <c r="X43" i="4"/>
  <c r="X33" i="4"/>
  <c r="Q23" i="5"/>
  <c r="Q24" i="5"/>
  <c r="T8" i="10"/>
  <c r="Y14" i="10"/>
  <c r="Y29" i="4"/>
  <c r="Z27" i="4"/>
  <c r="T9" i="10" l="1"/>
  <c r="X29" i="5"/>
  <c r="G36" i="5"/>
  <c r="V37" i="5"/>
  <c r="U15" i="5"/>
  <c r="U16" i="5" s="1"/>
  <c r="U11" i="5"/>
  <c r="U8" i="10" s="1"/>
  <c r="Y44" i="4"/>
  <c r="Y45" i="4"/>
  <c r="Y35" i="4"/>
  <c r="Y32" i="4"/>
  <c r="X30" i="5"/>
  <c r="X12" i="10"/>
  <c r="X34" i="5"/>
  <c r="R24" i="5"/>
  <c r="Q46" i="5"/>
  <c r="Z28" i="4"/>
  <c r="Q39" i="5"/>
  <c r="T54" i="4"/>
  <c r="X35" i="5" l="1"/>
  <c r="X39" i="5"/>
  <c r="X40" i="5" s="1"/>
  <c r="Z14" i="10"/>
  <c r="Z29" i="4"/>
  <c r="AA27" i="4"/>
  <c r="AA28" i="4" s="1"/>
  <c r="S24" i="5"/>
  <c r="R46" i="5"/>
  <c r="R10" i="10" s="1"/>
  <c r="Y28" i="5"/>
  <c r="Y43" i="4"/>
  <c r="Y30" i="5" s="1"/>
  <c r="Y33" i="4"/>
  <c r="Q40" i="5"/>
  <c r="U13" i="10"/>
  <c r="V9" i="5"/>
  <c r="F11" i="5"/>
  <c r="U34" i="4"/>
  <c r="F16" i="5"/>
  <c r="U17" i="5"/>
  <c r="U9" i="10" s="1"/>
  <c r="Z44" i="4" l="1"/>
  <c r="Z45" i="4"/>
  <c r="Z32" i="4"/>
  <c r="Z35" i="4"/>
  <c r="F34" i="4"/>
  <c r="U36" i="4"/>
  <c r="S46" i="5"/>
  <c r="S10" i="10" s="1"/>
  <c r="Q43" i="5"/>
  <c r="Q11" i="10" s="1"/>
  <c r="Q10" i="10"/>
  <c r="Y12" i="10"/>
  <c r="Y34" i="5"/>
  <c r="G9" i="5"/>
  <c r="V10" i="5"/>
  <c r="Y29" i="5"/>
  <c r="F17" i="5"/>
  <c r="V14" i="5"/>
  <c r="AA14" i="10"/>
  <c r="AA29" i="4"/>
  <c r="AB27" i="4"/>
  <c r="AB28" i="4" s="1"/>
  <c r="V11" i="5" l="1"/>
  <c r="G14" i="5"/>
  <c r="R42" i="5"/>
  <c r="Q44" i="5"/>
  <c r="Q52" i="1"/>
  <c r="Z28" i="5"/>
  <c r="Z43" i="4"/>
  <c r="Z30" i="5" s="1"/>
  <c r="Z35" i="5" s="1"/>
  <c r="Z33" i="4"/>
  <c r="V13" i="5"/>
  <c r="U46" i="4"/>
  <c r="F36" i="4"/>
  <c r="AA44" i="4"/>
  <c r="AA45" i="4"/>
  <c r="AA32" i="4"/>
  <c r="AA35" i="4"/>
  <c r="AB14" i="10"/>
  <c r="AC27" i="4"/>
  <c r="AC28" i="4" s="1"/>
  <c r="AB29" i="4"/>
  <c r="Z34" i="5" l="1"/>
  <c r="Z12" i="10"/>
  <c r="AA28" i="5"/>
  <c r="AA29" i="5" s="1"/>
  <c r="AA43" i="4"/>
  <c r="AA33" i="4"/>
  <c r="R43" i="5"/>
  <c r="AB45" i="4"/>
  <c r="AB32" i="4"/>
  <c r="AB35" i="4"/>
  <c r="AB44" i="4"/>
  <c r="U48" i="4"/>
  <c r="F46" i="4"/>
  <c r="Z29" i="5"/>
  <c r="V35" i="5"/>
  <c r="V22" i="5"/>
  <c r="T20" i="5"/>
  <c r="AC14" i="10"/>
  <c r="AC29" i="4"/>
  <c r="AD27" i="4"/>
  <c r="AD28" i="4" s="1"/>
  <c r="V15" i="5"/>
  <c r="V16" i="5" s="1"/>
  <c r="V17" i="5" s="1"/>
  <c r="W14" i="5" s="1"/>
  <c r="V13" i="10"/>
  <c r="W9" i="5"/>
  <c r="AA30" i="5"/>
  <c r="V8" i="10"/>
  <c r="V23" i="5" l="1"/>
  <c r="AB28" i="5"/>
  <c r="AB29" i="5" s="1"/>
  <c r="AB43" i="4"/>
  <c r="AB30" i="5" s="1"/>
  <c r="AB33" i="4"/>
  <c r="AA35" i="5"/>
  <c r="AA39" i="5"/>
  <c r="AA40" i="5" s="1"/>
  <c r="V38" i="5"/>
  <c r="W36" i="5" s="1"/>
  <c r="W38" i="5" s="1"/>
  <c r="X36" i="5" s="1"/>
  <c r="X38" i="5" s="1"/>
  <c r="Y36" i="5" s="1"/>
  <c r="T21" i="5"/>
  <c r="F20" i="5"/>
  <c r="V34" i="4"/>
  <c r="R44" i="5"/>
  <c r="S42" i="5"/>
  <c r="R52" i="1"/>
  <c r="W11" i="5"/>
  <c r="W15" i="5"/>
  <c r="W16" i="5" s="1"/>
  <c r="W34" i="4" s="1"/>
  <c r="W36" i="4" s="1"/>
  <c r="W46" i="4" s="1"/>
  <c r="W48" i="4" s="1"/>
  <c r="AD14" i="10"/>
  <c r="AD29" i="4"/>
  <c r="AE27" i="4"/>
  <c r="AE28" i="4" s="1"/>
  <c r="R11" i="10"/>
  <c r="AC44" i="4"/>
  <c r="AC32" i="4"/>
  <c r="AC35" i="4"/>
  <c r="AC45" i="4"/>
  <c r="U52" i="4"/>
  <c r="F48" i="4"/>
  <c r="U55" i="4"/>
  <c r="AA12" i="10"/>
  <c r="AA34" i="5"/>
  <c r="V9" i="10"/>
  <c r="W17" i="5" l="1"/>
  <c r="X14" i="5" s="1"/>
  <c r="V36" i="4"/>
  <c r="AB34" i="5"/>
  <c r="AB12" i="10"/>
  <c r="AE14" i="10"/>
  <c r="AE29" i="4"/>
  <c r="AF27" i="4"/>
  <c r="AF28" i="4" s="1"/>
  <c r="W52" i="4"/>
  <c r="W55" i="4"/>
  <c r="W13" i="10"/>
  <c r="X9" i="5"/>
  <c r="F12" i="1"/>
  <c r="F55" i="4"/>
  <c r="W8" i="10"/>
  <c r="T23" i="5"/>
  <c r="F21" i="5"/>
  <c r="T24" i="5"/>
  <c r="V39" i="5"/>
  <c r="S43" i="5"/>
  <c r="U54" i="4"/>
  <c r="F54" i="4" s="1"/>
  <c r="F52" i="4"/>
  <c r="F14" i="1" s="1"/>
  <c r="Y37" i="5"/>
  <c r="AD45" i="4"/>
  <c r="AD32" i="4"/>
  <c r="AD35" i="4"/>
  <c r="AD44" i="4"/>
  <c r="AC28" i="5"/>
  <c r="AC29" i="5" s="1"/>
  <c r="AC43" i="4"/>
  <c r="AC30" i="5" s="1"/>
  <c r="AC35" i="5" s="1"/>
  <c r="AC33" i="4"/>
  <c r="W9" i="10"/>
  <c r="U24" i="5" l="1"/>
  <c r="T46" i="5"/>
  <c r="T39" i="5"/>
  <c r="F23" i="5"/>
  <c r="T42" i="5"/>
  <c r="S44" i="5"/>
  <c r="S52" i="1"/>
  <c r="W54" i="4"/>
  <c r="V46" i="4"/>
  <c r="AD28" i="5"/>
  <c r="AD29" i="5" s="1"/>
  <c r="AD43" i="4"/>
  <c r="AD30" i="5" s="1"/>
  <c r="AD33" i="4"/>
  <c r="S11" i="10"/>
  <c r="AF14" i="10"/>
  <c r="AF29" i="4"/>
  <c r="AG27" i="4"/>
  <c r="G19" i="11"/>
  <c r="F15" i="1"/>
  <c r="L45" i="1" s="1"/>
  <c r="G18" i="11"/>
  <c r="AC34" i="5"/>
  <c r="AC12" i="10"/>
  <c r="AE35" i="4"/>
  <c r="AE44" i="4"/>
  <c r="AE32" i="4"/>
  <c r="AE45" i="4"/>
  <c r="V40" i="5"/>
  <c r="X15" i="5"/>
  <c r="X16" i="5" s="1"/>
  <c r="X11" i="5"/>
  <c r="AD35" i="5" l="1"/>
  <c r="AD39" i="5"/>
  <c r="AD12" i="10"/>
  <c r="AD34" i="5"/>
  <c r="V48" i="4"/>
  <c r="AE28" i="5"/>
  <c r="AE29" i="5" s="1"/>
  <c r="AE43" i="4"/>
  <c r="AE33" i="4"/>
  <c r="X13" i="10"/>
  <c r="Y9" i="5"/>
  <c r="X34" i="4"/>
  <c r="X17" i="5"/>
  <c r="Y14" i="5" s="1"/>
  <c r="AG28" i="4"/>
  <c r="G27" i="4"/>
  <c r="X8" i="10"/>
  <c r="AF44" i="4"/>
  <c r="AF35" i="4"/>
  <c r="AF45" i="4"/>
  <c r="AF32" i="4"/>
  <c r="T40" i="5"/>
  <c r="F39" i="5"/>
  <c r="AD40" i="5"/>
  <c r="AE30" i="5"/>
  <c r="F24" i="5"/>
  <c r="V24" i="5"/>
  <c r="U46" i="5"/>
  <c r="Y10" i="5" l="1"/>
  <c r="V52" i="4"/>
  <c r="V55" i="4"/>
  <c r="AE12" i="10"/>
  <c r="AE34" i="5"/>
  <c r="F46" i="5"/>
  <c r="U10" i="10"/>
  <c r="AG14" i="10"/>
  <c r="AG29" i="4"/>
  <c r="G28" i="4"/>
  <c r="AH27" i="4"/>
  <c r="AF30" i="5"/>
  <c r="AF35" i="5" s="1"/>
  <c r="X36" i="4"/>
  <c r="T10" i="10"/>
  <c r="T43" i="5"/>
  <c r="T11" i="10" s="1"/>
  <c r="F40" i="5"/>
  <c r="AF28" i="5"/>
  <c r="AF29" i="5" s="1"/>
  <c r="AF43" i="4"/>
  <c r="AF33" i="4"/>
  <c r="X9" i="10"/>
  <c r="V46" i="5" l="1"/>
  <c r="V54" i="4"/>
  <c r="Y13" i="5"/>
  <c r="Y15" i="5" s="1"/>
  <c r="Y16" i="5" s="1"/>
  <c r="AF12" i="10"/>
  <c r="AF34" i="5"/>
  <c r="AH28" i="4"/>
  <c r="Y11" i="5"/>
  <c r="X46" i="4"/>
  <c r="U42" i="5"/>
  <c r="T44" i="5"/>
  <c r="T52" i="1"/>
  <c r="AG44" i="4"/>
  <c r="G44" i="4" s="1"/>
  <c r="AG45" i="4"/>
  <c r="G45" i="4" s="1"/>
  <c r="AG35" i="4"/>
  <c r="AG32" i="4"/>
  <c r="G29" i="4"/>
  <c r="AG28" i="5" l="1"/>
  <c r="AG43" i="4"/>
  <c r="G43" i="4" s="1"/>
  <c r="AG33" i="4"/>
  <c r="G32" i="4"/>
  <c r="G11" i="1" s="1"/>
  <c r="AG30" i="5"/>
  <c r="G35" i="4"/>
  <c r="AH14" i="10"/>
  <c r="AH29" i="4"/>
  <c r="AI27" i="4"/>
  <c r="Y35" i="5"/>
  <c r="Y22" i="5"/>
  <c r="W20" i="5"/>
  <c r="Y17" i="5"/>
  <c r="Z14" i="5" s="1"/>
  <c r="Y9" i="10"/>
  <c r="X48" i="4"/>
  <c r="Y34" i="4"/>
  <c r="Y13" i="10"/>
  <c r="Z9" i="5"/>
  <c r="Y8" i="10"/>
  <c r="U43" i="5"/>
  <c r="U11" i="10" s="1"/>
  <c r="V10" i="10"/>
  <c r="AG35" i="5" l="1"/>
  <c r="AG39" i="5"/>
  <c r="G30" i="5"/>
  <c r="X52" i="4"/>
  <c r="X55" i="4"/>
  <c r="Z15" i="5"/>
  <c r="Z16" i="5" s="1"/>
  <c r="Z11" i="5"/>
  <c r="W21" i="5"/>
  <c r="Y36" i="4"/>
  <c r="Y23" i="5"/>
  <c r="Y39" i="5" s="1"/>
  <c r="Y40" i="5" s="1"/>
  <c r="AG12" i="10"/>
  <c r="AG34" i="5"/>
  <c r="G34" i="5" s="1"/>
  <c r="G33" i="4"/>
  <c r="AH44" i="4"/>
  <c r="AH45" i="4"/>
  <c r="AH35" i="4"/>
  <c r="AH32" i="4"/>
  <c r="Y38" i="5"/>
  <c r="Z36" i="5" s="1"/>
  <c r="Z38" i="5" s="1"/>
  <c r="AA36" i="5" s="1"/>
  <c r="AA38" i="5" s="1"/>
  <c r="AB36" i="5" s="1"/>
  <c r="F43" i="5"/>
  <c r="V42" i="5"/>
  <c r="U44" i="5"/>
  <c r="F44" i="5" s="1"/>
  <c r="F17" i="1" s="1"/>
  <c r="U52" i="1"/>
  <c r="AI28" i="4"/>
  <c r="AG29" i="5"/>
  <c r="G28" i="5"/>
  <c r="K17" i="11" l="1"/>
  <c r="G10" i="1"/>
  <c r="K46" i="1" s="1"/>
  <c r="Y46" i="4"/>
  <c r="X54" i="4"/>
  <c r="AB37" i="5"/>
  <c r="G42" i="5"/>
  <c r="V43" i="5"/>
  <c r="V11" i="10" s="1"/>
  <c r="G20" i="11"/>
  <c r="F16" i="1"/>
  <c r="M45" i="1" s="1"/>
  <c r="AH28" i="5"/>
  <c r="AH43" i="4"/>
  <c r="AH30" i="5" s="1"/>
  <c r="AH33" i="4"/>
  <c r="Z13" i="10"/>
  <c r="AA9" i="5"/>
  <c r="AG40" i="5"/>
  <c r="G29" i="5"/>
  <c r="Z34" i="4"/>
  <c r="Z17" i="5"/>
  <c r="AA14" i="5" s="1"/>
  <c r="W23" i="5"/>
  <c r="W24" i="5"/>
  <c r="AI14" i="10"/>
  <c r="AI29" i="4"/>
  <c r="AJ27" i="4"/>
  <c r="Z8" i="10"/>
  <c r="AH12" i="10" l="1"/>
  <c r="AH34" i="5"/>
  <c r="Y48" i="4"/>
  <c r="AI44" i="4"/>
  <c r="AI45" i="4"/>
  <c r="AI32" i="4"/>
  <c r="AI35" i="4"/>
  <c r="Z36" i="4"/>
  <c r="AH29" i="5"/>
  <c r="AJ28" i="4"/>
  <c r="X24" i="5"/>
  <c r="W46" i="5"/>
  <c r="Z9" i="10"/>
  <c r="AA15" i="5"/>
  <c r="AA16" i="5" s="1"/>
  <c r="AA34" i="4" s="1"/>
  <c r="AA36" i="4" s="1"/>
  <c r="AA46" i="4" s="1"/>
  <c r="AA48" i="4" s="1"/>
  <c r="AA11" i="5"/>
  <c r="V44" i="5"/>
  <c r="W42" i="5"/>
  <c r="V52" i="1"/>
  <c r="W39" i="5"/>
  <c r="Z46" i="4" l="1"/>
  <c r="Y52" i="4"/>
  <c r="Y55" i="4"/>
  <c r="AA13" i="10"/>
  <c r="AB9" i="5"/>
  <c r="AI28" i="5"/>
  <c r="AI43" i="4"/>
  <c r="AI30" i="5" s="1"/>
  <c r="AI33" i="4"/>
  <c r="AA52" i="4"/>
  <c r="AA55" i="4"/>
  <c r="AJ14" i="10"/>
  <c r="AJ29" i="4"/>
  <c r="AK27" i="4"/>
  <c r="Y24" i="5"/>
  <c r="X46" i="5"/>
  <c r="X10" i="10" s="1"/>
  <c r="AA8" i="10"/>
  <c r="AA17" i="5"/>
  <c r="AB14" i="5" s="1"/>
  <c r="W40" i="5"/>
  <c r="AI12" i="10" l="1"/>
  <c r="AI34" i="5"/>
  <c r="Y46" i="5"/>
  <c r="Y10" i="10" s="1"/>
  <c r="Y54" i="4"/>
  <c r="W43" i="5"/>
  <c r="W10" i="10"/>
  <c r="AK28" i="4"/>
  <c r="AI29" i="5"/>
  <c r="AA54" i="4"/>
  <c r="AI35" i="5"/>
  <c r="AA9" i="10"/>
  <c r="AJ45" i="4"/>
  <c r="AJ32" i="4"/>
  <c r="AJ44" i="4"/>
  <c r="AJ35" i="4"/>
  <c r="AB10" i="5"/>
  <c r="Z48" i="4"/>
  <c r="AJ28" i="5" l="1"/>
  <c r="AJ43" i="4"/>
  <c r="AJ33" i="4"/>
  <c r="W44" i="5"/>
  <c r="X42" i="5"/>
  <c r="W52" i="1"/>
  <c r="AB13" i="5"/>
  <c r="AB15" i="5" s="1"/>
  <c r="AB16" i="5" s="1"/>
  <c r="AB34" i="4" s="1"/>
  <c r="AB36" i="4" s="1"/>
  <c r="Z52" i="4"/>
  <c r="Z55" i="4"/>
  <c r="AK14" i="10"/>
  <c r="AL27" i="4"/>
  <c r="AK29" i="4"/>
  <c r="AB11" i="5"/>
  <c r="W11" i="10"/>
  <c r="AB46" i="4" l="1"/>
  <c r="AL28" i="4"/>
  <c r="AJ29" i="5"/>
  <c r="X43" i="5"/>
  <c r="AK44" i="4"/>
  <c r="AK32" i="4"/>
  <c r="AK45" i="4"/>
  <c r="AK35" i="4"/>
  <c r="AJ12" i="10"/>
  <c r="AJ34" i="5"/>
  <c r="AB35" i="5"/>
  <c r="AB22" i="5"/>
  <c r="Z20" i="5"/>
  <c r="AB17" i="5"/>
  <c r="AC14" i="5" s="1"/>
  <c r="AB13" i="10"/>
  <c r="AC9" i="5"/>
  <c r="AB8" i="10"/>
  <c r="Z54" i="4"/>
  <c r="AJ30" i="5"/>
  <c r="X44" i="5" l="1"/>
  <c r="Y42" i="5"/>
  <c r="X52" i="1"/>
  <c r="Z21" i="5"/>
  <c r="AC15" i="5"/>
  <c r="AC16" i="5" s="1"/>
  <c r="AC34" i="4" s="1"/>
  <c r="AC36" i="4" s="1"/>
  <c r="AC46" i="4" s="1"/>
  <c r="AC48" i="4" s="1"/>
  <c r="AC11" i="5"/>
  <c r="AC8" i="10" s="1"/>
  <c r="AB23" i="5"/>
  <c r="AB39" i="5" s="1"/>
  <c r="AB40" i="5" s="1"/>
  <c r="AB38" i="5"/>
  <c r="AC36" i="5" s="1"/>
  <c r="AC38" i="5" s="1"/>
  <c r="AD36" i="5" s="1"/>
  <c r="AD38" i="5" s="1"/>
  <c r="AE36" i="5" s="1"/>
  <c r="AL14" i="10"/>
  <c r="AM27" i="4"/>
  <c r="AM28" i="4" s="1"/>
  <c r="AL29" i="4"/>
  <c r="X11" i="10"/>
  <c r="AK28" i="5"/>
  <c r="AK43" i="4"/>
  <c r="AK30" i="5" s="1"/>
  <c r="AK33" i="4"/>
  <c r="AB9" i="10"/>
  <c r="AJ35" i="5"/>
  <c r="AJ39" i="5"/>
  <c r="AJ40" i="5" s="1"/>
  <c r="AB48" i="4"/>
  <c r="AC17" i="5" l="1"/>
  <c r="AD14" i="5" s="1"/>
  <c r="AK29" i="5"/>
  <c r="AL45" i="4"/>
  <c r="AL32" i="4"/>
  <c r="AL44" i="4"/>
  <c r="AL35" i="4"/>
  <c r="Z23" i="5"/>
  <c r="Z24" i="5"/>
  <c r="AK34" i="5"/>
  <c r="AK12" i="10"/>
  <c r="AM14" i="10"/>
  <c r="AN27" i="4"/>
  <c r="AN28" i="4" s="1"/>
  <c r="AM29" i="4"/>
  <c r="AC9" i="10"/>
  <c r="AC13" i="10"/>
  <c r="AD9" i="5"/>
  <c r="Y43" i="5"/>
  <c r="AB52" i="4"/>
  <c r="AB55" i="4"/>
  <c r="AE37" i="5"/>
  <c r="G37" i="5" s="1"/>
  <c r="AC52" i="4"/>
  <c r="AC55" i="4"/>
  <c r="AN14" i="10" l="1"/>
  <c r="AN29" i="4"/>
  <c r="AO27" i="4"/>
  <c r="AO28" i="4" s="1"/>
  <c r="AL28" i="5"/>
  <c r="AL43" i="4"/>
  <c r="AL33" i="4"/>
  <c r="AA24" i="5"/>
  <c r="Z46" i="5"/>
  <c r="AC54" i="4"/>
  <c r="AD15" i="5"/>
  <c r="AD16" i="5" s="1"/>
  <c r="AD11" i="5"/>
  <c r="AB54" i="4"/>
  <c r="Z42" i="5"/>
  <c r="Y44" i="5"/>
  <c r="Y52" i="1"/>
  <c r="Z39" i="5"/>
  <c r="Y11" i="10"/>
  <c r="AM44" i="4"/>
  <c r="AM35" i="4"/>
  <c r="AM45" i="4"/>
  <c r="AM32" i="4"/>
  <c r="AL30" i="5"/>
  <c r="AL35" i="5" s="1"/>
  <c r="AB24" i="5" l="1"/>
  <c r="AA46" i="5"/>
  <c r="AA10" i="10" s="1"/>
  <c r="AE9" i="5"/>
  <c r="AD13" i="10"/>
  <c r="AL12" i="10"/>
  <c r="AL34" i="5"/>
  <c r="AD34" i="4"/>
  <c r="AD36" i="4" s="1"/>
  <c r="AD46" i="4" s="1"/>
  <c r="AD48" i="4" s="1"/>
  <c r="AD17" i="5"/>
  <c r="AE14" i="5" s="1"/>
  <c r="AD8" i="10"/>
  <c r="AL29" i="5"/>
  <c r="AO14" i="10"/>
  <c r="AO29" i="4"/>
  <c r="AP27" i="4"/>
  <c r="AP28" i="4" s="1"/>
  <c r="Z40" i="5"/>
  <c r="AN44" i="4"/>
  <c r="AN35" i="4"/>
  <c r="AN45" i="4"/>
  <c r="AN32" i="4"/>
  <c r="AM28" i="5"/>
  <c r="AM29" i="5" s="1"/>
  <c r="AM43" i="4"/>
  <c r="AM30" i="5" s="1"/>
  <c r="AM33" i="4"/>
  <c r="AM35" i="5" l="1"/>
  <c r="AM39" i="5"/>
  <c r="Z43" i="5"/>
  <c r="Z10" i="10"/>
  <c r="Z11" i="10"/>
  <c r="AP14" i="10"/>
  <c r="AP29" i="4"/>
  <c r="AQ27" i="4"/>
  <c r="AQ28" i="4" s="1"/>
  <c r="AM12" i="10"/>
  <c r="AM34" i="5"/>
  <c r="AM40" i="5"/>
  <c r="AO44" i="4"/>
  <c r="AO45" i="4"/>
  <c r="AO35" i="4"/>
  <c r="AO32" i="4"/>
  <c r="AD9" i="10"/>
  <c r="AE10" i="5"/>
  <c r="AN28" i="5"/>
  <c r="AN29" i="5" s="1"/>
  <c r="AN43" i="4"/>
  <c r="AN30" i="5" s="1"/>
  <c r="AN33" i="4"/>
  <c r="AD52" i="4"/>
  <c r="AD55" i="4"/>
  <c r="AB46" i="5"/>
  <c r="AB10" i="10" s="1"/>
  <c r="AA42" i="5" l="1"/>
  <c r="Z44" i="5"/>
  <c r="Z52" i="1"/>
  <c r="AO43" i="4"/>
  <c r="AO30" i="5" s="1"/>
  <c r="AO35" i="5" s="1"/>
  <c r="AO28" i="5"/>
  <c r="AO29" i="5" s="1"/>
  <c r="AO33" i="4"/>
  <c r="AD54" i="4"/>
  <c r="AE13" i="5"/>
  <c r="AE15" i="5" s="1"/>
  <c r="AE16" i="5" s="1"/>
  <c r="AE34" i="4" s="1"/>
  <c r="AE36" i="4" s="1"/>
  <c r="AE46" i="4" s="1"/>
  <c r="AE48" i="4" s="1"/>
  <c r="G10" i="5"/>
  <c r="AQ14" i="10"/>
  <c r="AQ29" i="4"/>
  <c r="AR27" i="4"/>
  <c r="AR28" i="4" s="1"/>
  <c r="AN12" i="10"/>
  <c r="AN34" i="5"/>
  <c r="AP44" i="4"/>
  <c r="AP45" i="4"/>
  <c r="AP35" i="4"/>
  <c r="AP32" i="4"/>
  <c r="AE11" i="5"/>
  <c r="AO12" i="10" l="1"/>
  <c r="AO34" i="5"/>
  <c r="AQ44" i="4"/>
  <c r="AQ45" i="4"/>
  <c r="AQ32" i="4"/>
  <c r="AQ35" i="4"/>
  <c r="AE52" i="4"/>
  <c r="AE55" i="4"/>
  <c r="AR14" i="10"/>
  <c r="AR29" i="4"/>
  <c r="AS27" i="4"/>
  <c r="AE13" i="10"/>
  <c r="AF9" i="5"/>
  <c r="AE8" i="10"/>
  <c r="AP28" i="5"/>
  <c r="AP29" i="5" s="1"/>
  <c r="AP43" i="4"/>
  <c r="AP33" i="4"/>
  <c r="AE35" i="5"/>
  <c r="AE22" i="5"/>
  <c r="AC20" i="5"/>
  <c r="G13" i="5"/>
  <c r="AE17" i="5"/>
  <c r="AF14" i="5" s="1"/>
  <c r="AA43" i="5"/>
  <c r="AP30" i="5"/>
  <c r="AQ28" i="5" l="1"/>
  <c r="AQ29" i="5" s="1"/>
  <c r="AQ43" i="4"/>
  <c r="AQ33" i="4"/>
  <c r="G35" i="5"/>
  <c r="AE38" i="5"/>
  <c r="AF36" i="5" s="1"/>
  <c r="AF38" i="5" s="1"/>
  <c r="AG36" i="5" s="1"/>
  <c r="AG38" i="5" s="1"/>
  <c r="AR45" i="4"/>
  <c r="AR44" i="4"/>
  <c r="AR32" i="4"/>
  <c r="AR35" i="4"/>
  <c r="AB42" i="5"/>
  <c r="AA44" i="5"/>
  <c r="AA52" i="1"/>
  <c r="AP12" i="10"/>
  <c r="AP34" i="5"/>
  <c r="AC21" i="5"/>
  <c r="AS28" i="4"/>
  <c r="H27" i="4"/>
  <c r="AA11" i="10"/>
  <c r="AF15" i="5"/>
  <c r="AF16" i="5" s="1"/>
  <c r="AF34" i="4" s="1"/>
  <c r="AF36" i="4" s="1"/>
  <c r="AF46" i="4" s="1"/>
  <c r="AF48" i="4" s="1"/>
  <c r="AF11" i="5"/>
  <c r="AF8" i="10" s="1"/>
  <c r="AE23" i="5"/>
  <c r="AE39" i="5" s="1"/>
  <c r="AE40" i="5" s="1"/>
  <c r="G22" i="5"/>
  <c r="AE54" i="4"/>
  <c r="AP35" i="5"/>
  <c r="AP39" i="5"/>
  <c r="AP40" i="5" s="1"/>
  <c r="AE9" i="10"/>
  <c r="AQ30" i="5"/>
  <c r="AR28" i="5" l="1"/>
  <c r="AR29" i="5" s="1"/>
  <c r="AR43" i="4"/>
  <c r="AR33" i="4"/>
  <c r="AF52" i="4"/>
  <c r="AF55" i="4"/>
  <c r="G38" i="5"/>
  <c r="AH36" i="5"/>
  <c r="AF17" i="5"/>
  <c r="AG14" i="5" s="1"/>
  <c r="AS14" i="10"/>
  <c r="F14" i="10" s="1"/>
  <c r="G14" i="10" s="1"/>
  <c r="AS29" i="4"/>
  <c r="H28" i="4"/>
  <c r="AQ34" i="5"/>
  <c r="AQ12" i="10"/>
  <c r="AF13" i="10"/>
  <c r="AG9" i="5"/>
  <c r="AF9" i="10"/>
  <c r="AB43" i="5"/>
  <c r="AB11" i="10" s="1"/>
  <c r="AC23" i="5"/>
  <c r="AC24" i="5"/>
  <c r="AR30" i="5"/>
  <c r="AR12" i="10" l="1"/>
  <c r="AR34" i="5"/>
  <c r="AR35" i="5"/>
  <c r="AR39" i="5"/>
  <c r="AR40" i="5" s="1"/>
  <c r="AS44" i="4"/>
  <c r="H44" i="4" s="1"/>
  <c r="AS45" i="4"/>
  <c r="H45" i="4" s="1"/>
  <c r="AS32" i="4"/>
  <c r="AS35" i="4"/>
  <c r="H29" i="4"/>
  <c r="AC42" i="5"/>
  <c r="AB44" i="5"/>
  <c r="AB52" i="1"/>
  <c r="AD24" i="5"/>
  <c r="AC46" i="5"/>
  <c r="AG15" i="5"/>
  <c r="AG16" i="5" s="1"/>
  <c r="AG17" i="5" s="1"/>
  <c r="AG9" i="10" s="1"/>
  <c r="AG11" i="5"/>
  <c r="AF54" i="4"/>
  <c r="AC39" i="5"/>
  <c r="H36" i="5"/>
  <c r="AH37" i="5"/>
  <c r="AE24" i="5" l="1"/>
  <c r="AD46" i="5"/>
  <c r="AD10" i="10" s="1"/>
  <c r="AG13" i="10"/>
  <c r="G11" i="5"/>
  <c r="AH9" i="5"/>
  <c r="AG34" i="4"/>
  <c r="G16" i="5"/>
  <c r="G17" i="5"/>
  <c r="AH14" i="5"/>
  <c r="AG8" i="10"/>
  <c r="H35" i="4"/>
  <c r="AC40" i="5"/>
  <c r="AS28" i="5"/>
  <c r="AS43" i="4"/>
  <c r="H43" i="4" s="1"/>
  <c r="AS33" i="4"/>
  <c r="H32" i="4"/>
  <c r="H11" i="1" s="1"/>
  <c r="AS30" i="5" l="1"/>
  <c r="H9" i="5"/>
  <c r="AH10" i="5"/>
  <c r="AS35" i="5"/>
  <c r="AS39" i="5"/>
  <c r="H30" i="5"/>
  <c r="AS12" i="10"/>
  <c r="F12" i="10" s="1"/>
  <c r="G12" i="10" s="1"/>
  <c r="AS34" i="5"/>
  <c r="H34" i="5" s="1"/>
  <c r="H33" i="4"/>
  <c r="H14" i="5"/>
  <c r="AS29" i="5"/>
  <c r="H28" i="5"/>
  <c r="AE46" i="5"/>
  <c r="AE10" i="10" s="1"/>
  <c r="AG36" i="4"/>
  <c r="G34" i="4"/>
  <c r="AC10" i="10"/>
  <c r="AC43" i="5"/>
  <c r="AD42" i="5" l="1"/>
  <c r="AC44" i="5"/>
  <c r="AC52" i="1"/>
  <c r="AC11" i="10"/>
  <c r="AH13" i="5"/>
  <c r="AH15" i="5" s="1"/>
  <c r="AH16" i="5" s="1"/>
  <c r="AG46" i="4"/>
  <c r="G36" i="4"/>
  <c r="AH11" i="5"/>
  <c r="AH8" i="10" s="1"/>
  <c r="N17" i="11"/>
  <c r="H10" i="1"/>
  <c r="K47" i="1" s="1"/>
  <c r="K92" i="11"/>
  <c r="AS40" i="5"/>
  <c r="H29" i="5"/>
  <c r="AH34" i="4" l="1"/>
  <c r="AH35" i="5"/>
  <c r="AH22" i="5"/>
  <c r="AF20" i="5"/>
  <c r="AH17" i="5"/>
  <c r="AI14" i="5" s="1"/>
  <c r="AG48" i="4"/>
  <c r="G46" i="4"/>
  <c r="AH13" i="10"/>
  <c r="AI9" i="5"/>
  <c r="AD43" i="5"/>
  <c r="AD44" i="5" l="1"/>
  <c r="AE42" i="5"/>
  <c r="AD52" i="1"/>
  <c r="AI15" i="5"/>
  <c r="AI16" i="5" s="1"/>
  <c r="AI11" i="5"/>
  <c r="AH23" i="5"/>
  <c r="AD11" i="10"/>
  <c r="AH38" i="5"/>
  <c r="AI36" i="5" s="1"/>
  <c r="AI38" i="5" s="1"/>
  <c r="AJ36" i="5" s="1"/>
  <c r="AJ38" i="5" s="1"/>
  <c r="AK36" i="5" s="1"/>
  <c r="AF21" i="5"/>
  <c r="G20" i="5"/>
  <c r="AG52" i="4"/>
  <c r="AG55" i="4"/>
  <c r="G48" i="4"/>
  <c r="AH36" i="4"/>
  <c r="AH9" i="10"/>
  <c r="AI13" i="10" l="1"/>
  <c r="AJ9" i="5"/>
  <c r="AI34" i="4"/>
  <c r="AG54" i="4"/>
  <c r="G54" i="4" s="1"/>
  <c r="G52" i="4"/>
  <c r="G14" i="1" s="1"/>
  <c r="AI17" i="5"/>
  <c r="AJ14" i="5" s="1"/>
  <c r="AF23" i="5"/>
  <c r="G21" i="5"/>
  <c r="AF24" i="5"/>
  <c r="AI8" i="10"/>
  <c r="AK37" i="5"/>
  <c r="G12" i="1"/>
  <c r="G55" i="4"/>
  <c r="AH46" i="4"/>
  <c r="AE43" i="5"/>
  <c r="AH39" i="5"/>
  <c r="AH40" i="5" l="1"/>
  <c r="K19" i="11"/>
  <c r="G15" i="1"/>
  <c r="L46" i="1" s="1"/>
  <c r="K18" i="11"/>
  <c r="AE44" i="5"/>
  <c r="AF42" i="5"/>
  <c r="AE52" i="1"/>
  <c r="AE11" i="10"/>
  <c r="AG24" i="5"/>
  <c r="AF46" i="5"/>
  <c r="AI36" i="4"/>
  <c r="AH48" i="4"/>
  <c r="AJ15" i="5"/>
  <c r="AJ16" i="5" s="1"/>
  <c r="AJ17" i="5" s="1"/>
  <c r="AK14" i="5" s="1"/>
  <c r="AJ11" i="5"/>
  <c r="AI9" i="10"/>
  <c r="AF39" i="5"/>
  <c r="G23" i="5"/>
  <c r="AF40" i="5" l="1"/>
  <c r="G39" i="5"/>
  <c r="AJ9" i="10"/>
  <c r="AJ13" i="10"/>
  <c r="AK9" i="5"/>
  <c r="AI46" i="4"/>
  <c r="AJ34" i="4"/>
  <c r="AJ8" i="10"/>
  <c r="G24" i="5"/>
  <c r="AH24" i="5"/>
  <c r="AG46" i="5"/>
  <c r="AH52" i="4"/>
  <c r="AH55" i="4"/>
  <c r="AH46" i="5" l="1"/>
  <c r="AH54" i="4"/>
  <c r="AK10" i="5"/>
  <c r="AJ36" i="4"/>
  <c r="AI48" i="4"/>
  <c r="AG10" i="10"/>
  <c r="G46" i="5"/>
  <c r="AF43" i="5"/>
  <c r="AF10" i="10"/>
  <c r="G40" i="5"/>
  <c r="AK11" i="5" l="1"/>
  <c r="AK13" i="5"/>
  <c r="AF44" i="5"/>
  <c r="AG42" i="5"/>
  <c r="AF52" i="1"/>
  <c r="AF11" i="10"/>
  <c r="AI52" i="4"/>
  <c r="AI55" i="4"/>
  <c r="AH10" i="10"/>
  <c r="AJ46" i="4"/>
  <c r="AJ48" i="4" l="1"/>
  <c r="AK35" i="5"/>
  <c r="AK22" i="5"/>
  <c r="AI20" i="5"/>
  <c r="AG43" i="5"/>
  <c r="AG11" i="10" s="1"/>
  <c r="AK13" i="10"/>
  <c r="AL9" i="5"/>
  <c r="AI54" i="4"/>
  <c r="AK15" i="5"/>
  <c r="AK16" i="5" s="1"/>
  <c r="AK17" i="5" s="1"/>
  <c r="AL14" i="5" s="1"/>
  <c r="AK8" i="10"/>
  <c r="AI21" i="5" l="1"/>
  <c r="AK23" i="5"/>
  <c r="AK39" i="5" s="1"/>
  <c r="AK40" i="5" s="1"/>
  <c r="AK38" i="5"/>
  <c r="AL36" i="5" s="1"/>
  <c r="AL38" i="5" s="1"/>
  <c r="AM36" i="5" s="1"/>
  <c r="AM38" i="5" s="1"/>
  <c r="AN36" i="5" s="1"/>
  <c r="AK34" i="4"/>
  <c r="AH42" i="5"/>
  <c r="AG44" i="5"/>
  <c r="G44" i="5" s="1"/>
  <c r="G17" i="1" s="1"/>
  <c r="G43" i="5"/>
  <c r="AG52" i="1"/>
  <c r="AK9" i="10"/>
  <c r="AL15" i="5"/>
  <c r="AL16" i="5" s="1"/>
  <c r="AL34" i="4" s="1"/>
  <c r="AL36" i="4" s="1"/>
  <c r="AL46" i="4" s="1"/>
  <c r="AL48" i="4" s="1"/>
  <c r="AL11" i="5"/>
  <c r="AL8" i="10" s="1"/>
  <c r="AJ52" i="4"/>
  <c r="AJ55" i="4"/>
  <c r="AJ54" i="4" l="1"/>
  <c r="H42" i="5"/>
  <c r="AH43" i="5"/>
  <c r="AL13" i="10"/>
  <c r="AM9" i="5"/>
  <c r="AI23" i="5"/>
  <c r="AI24" i="5"/>
  <c r="K20" i="11"/>
  <c r="G16" i="1"/>
  <c r="M46" i="1" s="1"/>
  <c r="AL52" i="4"/>
  <c r="AL55" i="4"/>
  <c r="AK36" i="4"/>
  <c r="AL17" i="5"/>
  <c r="AN37" i="5"/>
  <c r="AH44" i="5" l="1"/>
  <c r="AI42" i="5"/>
  <c r="AH52" i="1"/>
  <c r="AJ24" i="5"/>
  <c r="AI46" i="5"/>
  <c r="AI39" i="5"/>
  <c r="AK46" i="4"/>
  <c r="AM11" i="5"/>
  <c r="AH11" i="10"/>
  <c r="AM14" i="5"/>
  <c r="AL9" i="10"/>
  <c r="AL54" i="4"/>
  <c r="AI40" i="5" l="1"/>
  <c r="AM13" i="10"/>
  <c r="AN9" i="5"/>
  <c r="AK24" i="5"/>
  <c r="AJ46" i="5"/>
  <c r="AJ10" i="10" s="1"/>
  <c r="AK48" i="4"/>
  <c r="AM15" i="5"/>
  <c r="AM16" i="5" s="1"/>
  <c r="AM34" i="4" s="1"/>
  <c r="AM8" i="10"/>
  <c r="AM17" i="5" l="1"/>
  <c r="AN14" i="5" s="1"/>
  <c r="AK52" i="4"/>
  <c r="AK55" i="4"/>
  <c r="AM36" i="4"/>
  <c r="AN10" i="5"/>
  <c r="AN11" i="5" s="1"/>
  <c r="AI10" i="10"/>
  <c r="AI43" i="5"/>
  <c r="AN13" i="10" l="1"/>
  <c r="AO9" i="5"/>
  <c r="AM46" i="4"/>
  <c r="AJ42" i="5"/>
  <c r="AI44" i="5"/>
  <c r="AI52" i="1"/>
  <c r="AI11" i="10"/>
  <c r="AK46" i="5"/>
  <c r="AK54" i="4"/>
  <c r="AM9" i="10"/>
  <c r="AN13" i="5"/>
  <c r="AN15" i="5"/>
  <c r="AN16" i="5" s="1"/>
  <c r="AN34" i="4" s="1"/>
  <c r="AN36" i="4" s="1"/>
  <c r="AN46" i="4" s="1"/>
  <c r="AN48" i="4" s="1"/>
  <c r="AN8" i="10"/>
  <c r="AN17" i="5" l="1"/>
  <c r="AO14" i="5" s="1"/>
  <c r="AO15" i="5" s="1"/>
  <c r="AO16" i="5" s="1"/>
  <c r="AO34" i="4" s="1"/>
  <c r="AO36" i="4" s="1"/>
  <c r="AO46" i="4" s="1"/>
  <c r="AO48" i="4" s="1"/>
  <c r="AJ43" i="5"/>
  <c r="AM48" i="4"/>
  <c r="AN35" i="5"/>
  <c r="AN22" i="5"/>
  <c r="AL20" i="5"/>
  <c r="AO11" i="5"/>
  <c r="AN52" i="4"/>
  <c r="AN55" i="4"/>
  <c r="AK10" i="10"/>
  <c r="AN9" i="10" l="1"/>
  <c r="AO13" i="10"/>
  <c r="AP9" i="5"/>
  <c r="AK42" i="5"/>
  <c r="AJ44" i="5"/>
  <c r="AJ52" i="1"/>
  <c r="AO52" i="4"/>
  <c r="AO55" i="4"/>
  <c r="AO8" i="10"/>
  <c r="AJ11" i="10"/>
  <c r="AN54" i="4"/>
  <c r="AL21" i="5"/>
  <c r="AO17" i="5"/>
  <c r="AP14" i="5" s="1"/>
  <c r="AN38" i="5"/>
  <c r="AO36" i="5" s="1"/>
  <c r="AO38" i="5" s="1"/>
  <c r="AP36" i="5" s="1"/>
  <c r="AP38" i="5" s="1"/>
  <c r="AQ36" i="5" s="1"/>
  <c r="AM52" i="4"/>
  <c r="AM55" i="4"/>
  <c r="AN23" i="5"/>
  <c r="AN39" i="5" s="1"/>
  <c r="AN40" i="5" s="1"/>
  <c r="AO9" i="10" l="1"/>
  <c r="AO54" i="4"/>
  <c r="AQ37" i="5"/>
  <c r="H37" i="5" s="1"/>
  <c r="AK43" i="5"/>
  <c r="AK11" i="10" s="1"/>
  <c r="AP15" i="5"/>
  <c r="AP16" i="5" s="1"/>
  <c r="AP34" i="4" s="1"/>
  <c r="AP36" i="4" s="1"/>
  <c r="AP46" i="4" s="1"/>
  <c r="AP48" i="4" s="1"/>
  <c r="AP11" i="5"/>
  <c r="AP8" i="10" s="1"/>
  <c r="AL23" i="5"/>
  <c r="AL24" i="5"/>
  <c r="AM54" i="4"/>
  <c r="AP17" i="5" l="1"/>
  <c r="AQ14" i="5" s="1"/>
  <c r="AL39" i="5"/>
  <c r="AP52" i="4"/>
  <c r="AP55" i="4"/>
  <c r="AP9" i="10"/>
  <c r="AP13" i="10"/>
  <c r="AQ9" i="5"/>
  <c r="AM24" i="5"/>
  <c r="AL46" i="5"/>
  <c r="AL42" i="5"/>
  <c r="AK44" i="5"/>
  <c r="AK52" i="1"/>
  <c r="AP54" i="4" l="1"/>
  <c r="AN24" i="5"/>
  <c r="AM46" i="5"/>
  <c r="AM10" i="10" s="1"/>
  <c r="AQ10" i="5"/>
  <c r="AL40" i="5"/>
  <c r="AN46" i="5" l="1"/>
  <c r="AN10" i="10" s="1"/>
  <c r="AL43" i="5"/>
  <c r="AL10" i="10"/>
  <c r="AL11" i="10"/>
  <c r="AQ13" i="5"/>
  <c r="H10" i="5"/>
  <c r="AQ11" i="5"/>
  <c r="AQ35" i="5" l="1"/>
  <c r="AQ22" i="5"/>
  <c r="AO20" i="5"/>
  <c r="H13" i="5"/>
  <c r="AQ15" i="5"/>
  <c r="AQ16" i="5" s="1"/>
  <c r="AQ34" i="4" s="1"/>
  <c r="AQ36" i="4" s="1"/>
  <c r="AQ46" i="4" s="1"/>
  <c r="AQ48" i="4" s="1"/>
  <c r="AL44" i="5"/>
  <c r="AM42" i="5"/>
  <c r="AL52" i="1"/>
  <c r="AQ13" i="10"/>
  <c r="AR9" i="5"/>
  <c r="AQ8" i="10"/>
  <c r="AQ17" i="5" l="1"/>
  <c r="AR14" i="5" s="1"/>
  <c r="AQ9" i="10"/>
  <c r="AR11" i="5"/>
  <c r="AR15" i="5"/>
  <c r="AR16" i="5" s="1"/>
  <c r="AR34" i="4" s="1"/>
  <c r="AR36" i="4" s="1"/>
  <c r="AR46" i="4" s="1"/>
  <c r="AR48" i="4" s="1"/>
  <c r="AO21" i="5"/>
  <c r="H20" i="5"/>
  <c r="AQ52" i="4"/>
  <c r="AQ55" i="4"/>
  <c r="AQ23" i="5"/>
  <c r="AQ39" i="5" s="1"/>
  <c r="AQ40" i="5" s="1"/>
  <c r="H22" i="5"/>
  <c r="AM43" i="5"/>
  <c r="AM11" i="10" s="1"/>
  <c r="H35" i="5"/>
  <c r="AQ38" i="5"/>
  <c r="AR36" i="5" s="1"/>
  <c r="AR38" i="5" s="1"/>
  <c r="AS36" i="5" s="1"/>
  <c r="AS38" i="5" s="1"/>
  <c r="H38" i="5" s="1"/>
  <c r="AQ54" i="4" l="1"/>
  <c r="AR13" i="10"/>
  <c r="AS9" i="5"/>
  <c r="AO23" i="5"/>
  <c r="H21" i="5"/>
  <c r="AO24" i="5"/>
  <c r="AR8" i="10"/>
  <c r="AM44" i="5"/>
  <c r="AN42" i="5"/>
  <c r="AM52" i="1"/>
  <c r="AR52" i="4"/>
  <c r="AR55" i="4"/>
  <c r="AR17" i="5"/>
  <c r="AS14" i="5" s="1"/>
  <c r="AR9" i="10" l="1"/>
  <c r="AR54" i="4"/>
  <c r="AS15" i="5"/>
  <c r="AS16" i="5" s="1"/>
  <c r="AS17" i="5" s="1"/>
  <c r="H17" i="5" s="1"/>
  <c r="AS11" i="5"/>
  <c r="AP24" i="5"/>
  <c r="AO46" i="5"/>
  <c r="AN43" i="5"/>
  <c r="AN11" i="10" s="1"/>
  <c r="AO39" i="5"/>
  <c r="H23" i="5"/>
  <c r="AS34" i="4" l="1"/>
  <c r="H16" i="5"/>
  <c r="AQ24" i="5"/>
  <c r="AP46" i="5"/>
  <c r="AP10" i="10" s="1"/>
  <c r="AS13" i="10"/>
  <c r="F13" i="10" s="1"/>
  <c r="G13" i="10" s="1"/>
  <c r="H11" i="5"/>
  <c r="AS8" i="10"/>
  <c r="F8" i="10" s="1"/>
  <c r="G8" i="10" s="1"/>
  <c r="AO40" i="5"/>
  <c r="H39" i="5"/>
  <c r="AS9" i="10"/>
  <c r="F9" i="10" s="1"/>
  <c r="G9" i="10" s="1"/>
  <c r="AN44" i="5"/>
  <c r="AO42" i="5"/>
  <c r="AN52" i="1"/>
  <c r="AO43" i="5" l="1"/>
  <c r="AO10" i="10"/>
  <c r="H40" i="5"/>
  <c r="AR24" i="5"/>
  <c r="AQ46" i="5"/>
  <c r="AQ10" i="10" s="1"/>
  <c r="AS36" i="4"/>
  <c r="H34" i="4"/>
  <c r="AS24" i="5" l="1"/>
  <c r="H24" i="5" s="1"/>
  <c r="AR46" i="5"/>
  <c r="AR10" i="10" s="1"/>
  <c r="AS46" i="4"/>
  <c r="H36" i="4"/>
  <c r="AP42" i="5"/>
  <c r="AO44" i="5"/>
  <c r="AO52" i="1"/>
  <c r="AO11" i="10"/>
  <c r="AS48" i="4" l="1"/>
  <c r="H46" i="4"/>
  <c r="AP43" i="5"/>
  <c r="AP11" i="10" s="1"/>
  <c r="AQ42" i="5" l="1"/>
  <c r="AP44" i="5"/>
  <c r="AP52" i="1"/>
  <c r="AS52" i="4"/>
  <c r="AS55" i="4"/>
  <c r="H48" i="4"/>
  <c r="AS46" i="5" l="1"/>
  <c r="AS54" i="4"/>
  <c r="H54" i="4" s="1"/>
  <c r="H52" i="4"/>
  <c r="H14" i="1" s="1"/>
  <c r="H12" i="1"/>
  <c r="H55" i="4"/>
  <c r="AQ43" i="5"/>
  <c r="AQ11" i="10" s="1"/>
  <c r="N19" i="11" l="1"/>
  <c r="H15" i="1"/>
  <c r="L47" i="1" s="1"/>
  <c r="N18" i="11"/>
  <c r="AR42" i="5"/>
  <c r="AQ44" i="5"/>
  <c r="AQ52" i="1"/>
  <c r="AS10" i="10"/>
  <c r="F10" i="10" s="1"/>
  <c r="G10" i="10" s="1"/>
  <c r="H46" i="5"/>
  <c r="AR43" i="5" l="1"/>
  <c r="AS42" i="5" l="1"/>
  <c r="AR44" i="5"/>
  <c r="AR52" i="1"/>
  <c r="AR11" i="10"/>
  <c r="AS43" i="5" l="1"/>
  <c r="AS44" i="5" l="1"/>
  <c r="H43" i="5"/>
  <c r="AS52" i="1"/>
  <c r="F24" i="1"/>
  <c r="F25" i="1"/>
  <c r="AS11" i="10"/>
  <c r="F11" i="10" s="1"/>
  <c r="G11" i="10" s="1"/>
  <c r="N20" i="11" l="1"/>
  <c r="H16" i="1"/>
  <c r="M47" i="1" s="1"/>
  <c r="F23" i="1"/>
  <c r="H44" i="5"/>
  <c r="H17" i="1" s="1"/>
  <c r="C23" i="11" l="1"/>
  <c r="K108" i="11"/>
</calcChain>
</file>

<file path=xl/sharedStrings.xml><?xml version="1.0" encoding="utf-8"?>
<sst xmlns="http://schemas.openxmlformats.org/spreadsheetml/2006/main" count="1181" uniqueCount="773">
  <si>
    <t>그날의 류 투자 검토 요약</t>
  </si>
  <si>
    <t>선택 시나리오</t>
  </si>
  <si>
    <t>현재 판단은 조건부 검증 투자입니다. 본 제품의 생리주기 개선 효과, 양산 견적, 실매출은 아직 입증되지 않았습니다. 100일 검증 결과에 따라 후속 집행을 결정합니다.</t>
  </si>
  <si>
    <t>주요 결과</t>
  </si>
  <si>
    <t>단위</t>
  </si>
  <si>
    <t>1년차</t>
  </si>
  <si>
    <t>2년차</t>
  </si>
  <si>
    <t>3년차</t>
  </si>
  <si>
    <t>본체 출고</t>
  </si>
  <si>
    <t>개</t>
  </si>
  <si>
    <t>총 순매출</t>
  </si>
  <si>
    <t>원</t>
  </si>
  <si>
    <t>리필 순매출</t>
  </si>
  <si>
    <t>광고 후 공헌이익</t>
  </si>
  <si>
    <t>경제적 인건비</t>
  </si>
  <si>
    <t>EBITDA</t>
  </si>
  <si>
    <t>영업이익</t>
  </si>
  <si>
    <t>기말 현금</t>
  </si>
  <si>
    <t>연중 최대 추가자금 필요</t>
  </si>
  <si>
    <t>출시 첫해 본체 유료 CAC</t>
  </si>
  <si>
    <t>출시 첫해 본체 CM2</t>
  </si>
  <si>
    <t>CM2 목표 달성 허용 CAC</t>
  </si>
  <si>
    <t>36개월 최대 추가자금 필요</t>
  </si>
  <si>
    <t>36개월 최저 현금</t>
  </si>
  <si>
    <t>첫 현금 부족 월</t>
  </si>
  <si>
    <t>월</t>
  </si>
  <si>
    <t>첫 화면의 손익은 독립 사업 기준입니다. 회사 인건비 지원은 현금에만 반영합니다. 기본 시나리오에는 확정되지 않은 올리브영 및 기타 리테일 매출이 포함되지 않습니다.</t>
  </si>
  <si>
    <t>투자 결정을 바꾸는 세 가지 증거</t>
  </si>
  <si>
    <t>고객  가격 제시 후 실제 지불과 재사용이 발생하는가.  예약금은 관심 신호이며 실제 출고와 환불을 확인하기 전 판매 전환율로 사용하지 않습니다.</t>
  </si>
  <si>
    <t>제품  발목 착용과 지압이 기존 온열 또는 간단한 밴드보다 고객에게 추가 가치를 주는가.  온열 압박의 안전 범위를 먼저 정합니다.</t>
  </si>
  <si>
    <t>경제성  검수 원가와 물류 AS 및 광고를 뺀 본체 이익이 양수인가.  리필 구매를 0으로 바꿔도 사업이 버틸 수 있는지 확인합니다.</t>
  </si>
  <si>
    <t>사용 순서  01 가정에서 시나리오 선택과 노란 입력 수정 → 00 요약 확인 → 02 단위경제와 04 재고현금 확인. 실제 데이터는 08 실측입력에 기록합니다.</t>
  </si>
  <si>
    <t>연도</t>
  </si>
  <si>
    <t>순매출 백만원</t>
  </si>
  <si>
    <t>영업이익 백만원</t>
  </si>
  <si>
    <t>기말현금 백만원</t>
  </si>
  <si>
    <t>사업 가정 · 숫자를 바꾸면 매출과 현금이 달라지는 설정표</t>
  </si>
  <si>
    <t>선택 결과</t>
  </si>
  <si>
    <t>모델 시작월</t>
  </si>
  <si>
    <t>① F4에서 1 보수 / 2 기준 / 3 확장 선택 → ② 노란 칸의 가정 수정 → ③ 00_투자판단에서 결과 확인. 파란 숫자는 입력, 적용 행은 자동 계산입니다. 1~3년차는 시작월부터 12개월씩이며 출시 후 경과연도가 아닙니다. 확정 실적·견적이 없는 숫자는 기존 시험값을 유지했습니다.</t>
  </si>
  <si>
    <t>가정 항목</t>
  </si>
  <si>
    <t>구분</t>
  </si>
  <si>
    <t>뜻 · 기존 숫자의 근거 · 수정 기준</t>
  </si>
  <si>
    <t>본체 실결제가</t>
  </si>
  <si>
    <t>적용</t>
  </si>
  <si>
    <t>고객이 본체 키트 1개에 실제 결제하는 금액(VAT 포함). 기준 149,000원은 종전 모델 S05의 시험값이며 가격조사 결과가 아닙니다. 보수는 할인 판매, 확장은 높은 가격 수용을 가정합니다. 실제 할인 후 판매가로 교체하세요. A01</t>
  </si>
  <si>
    <t>보수</t>
  </si>
  <si>
    <t>기준</t>
  </si>
  <si>
    <t>확장</t>
  </si>
  <si>
    <t>완제품 키트 제조원가</t>
  </si>
  <si>
    <t>본체 1개+동봉 패치 12개의 제조·포장 원가(VAT 제외). 55,000→50,000→46,000원은 양산 효율 개선을 미리 넣은 가정이며 견적이 없습니다. 원가 하락이 확인되지 않으면 2·3년차도 같은 금액으로 두세요. A02</t>
  </si>
  <si>
    <t>유료 유입 클릭당 비용</t>
  </si>
  <si>
    <t>광고로 방문 1회를 얻는 비용(CPC). 기준 900원은 광고 실적이 없는 시험값입니다. 광고비÷유효 클릭수로 확인하세요. 800원·750원으로 내려가는 것은 광고 효율이 개선된다는 추가 가정입니다. A03</t>
  </si>
  <si>
    <t>유효 클릭의 출고 전환율</t>
  </si>
  <si>
    <t>%</t>
  </si>
  <si>
    <t>방문 중 결제 후 실제 출고까지 이어지는 비율. 2.5%는 방문 1,000회당 출고 25건을 뜻합니다. 예약자 비율이 아닙니다. 현재 자연 유입에도 같은 비율을 적용합니다. 3.0%·3.5% 개선은 미검증입니다. A04</t>
  </si>
  <si>
    <t>본체 DTC 전액 환불률</t>
  </si>
  <si>
    <t>출고한 본체 중 전액 환불되는 비율. 8%이면 100대 출고 중 8대 환불을 예상합니다. 환불된 제품의 제조원가·배송비도 이미 발생한 비용이며 회수품 재판매 수입은 0으로 둡니다. 동일 출고집단의 실적으로 교체하세요. A05</t>
  </si>
  <si>
    <t>첫 리필 유료 참여율</t>
  </si>
  <si>
    <t>환불하지 않은 본체 고객 중 다음 달 처음 리필을 유료 구매하는 비율. 25%는 고객 100명 중 25명입니다. 구독 계약이나 확정 매출이 아닙니다. 구매 후 한 달을 지난 고객의 첫 리필 구매율로 확인하세요. A06</t>
  </si>
  <si>
    <t>리필 구매자 월 유지율</t>
  </si>
  <si>
    <t>지난달 리필을 산 사람이 이번 달에도 사는 비율. 90%이면 100명→90명→81명으로 줄어듭니다. 모든 본체 고객의 90%가 매달 산다는 뜻이 아닙니다. 구매 간격이 한 달보다 길면 이 모델의 월 반복구매 가정을 재검토하세요. A07</t>
  </si>
  <si>
    <t>성숙 월 자연 유입</t>
  </si>
  <si>
    <t>명</t>
  </si>
  <si>
    <t>광고 외 검색·콘텐츠·추천으로 오는 월 방문 수. 기준 1,000→3,000→5,000회는 유입 확대 계획이며 관측값이 아닙니다. 출시 첫 달 50%, 둘째 달 75%만 적용합니다. 콘텐츠 인건비·운영비는 별도 지출입니다. A08</t>
  </si>
  <si>
    <t>성숙 월 광고비</t>
  </si>
  <si>
    <t>판매가 안정된 달에 쓸 광고비. 기준 월 200만→600만→1,200만원은 예산 확대 계획입니다. 첫 출시월 50%, 다음 달 75%, 이후 100% 집행. 광고비÷CPC×전환율로 유료 출고를 계산하므로 판매량을 보장하지 않습니다. A09</t>
  </si>
  <si>
    <t>첫 출시월 번호</t>
  </si>
  <si>
    <t>시작월을 1로 세었을 때 처음 판매하는 달. 시작월 2027년 1월, 입력 7이면 2027년 7월 출시입니다. 보수 10 / 기준 7 / 확장 5는 일정 가정입니다. F열만 수정하며 G·H는 연결값입니다. 개발·인허가 완료를 확인하세요. A10</t>
  </si>
  <si>
    <t>리테일 성숙 월 잠재 출고</t>
  </si>
  <si>
    <t>매장·유통사에 월 납품할 잠재 수량. 아래 F95가 0이면 이 숫자가 있어도 출고·매출은 0입니다. F95=1일 때만 초기 집행 비중을 곱해 반영합니다. 계약 전 수량은 판매 확정치가 아닙니다. A11</t>
  </si>
  <si>
    <t>리테일 공급가 비율</t>
  </si>
  <si>
    <t>VAT 제외 본체 판매가 중 당사가 납품 대금으로 받는 비율. 기준 60%이면 149,000÷1.1×60%=약 81,273원입니다. 매장 소비자가를 당사 매출로 잡지 않습니다. 유통 계약의 실제 공급가로 확인하세요. A12</t>
  </si>
  <si>
    <t>경제적 인력 규모</t>
  </si>
  <si>
    <t>사업에 투입할 인원 수. 기준 3명·3명·4명은 채용 계획이지 확정 인원이 아닙니다. 판매 전 준비기간에도 매달 인건비를 계산합니다. 실제 전담 인원과 투입 계획으로 바꾸세요. A13</t>
  </si>
  <si>
    <t>인당 월 총인건비</t>
  </si>
  <si>
    <t>1명에게 한 달 동안 드는 회사 총인건비. 450만·470만·500만원은 급여 실측이 아닌 계획값입니다. 3명×450만원=월 1,350만원입니다. 회사가 지원해도 손익에는 전액, 현금에는 F107의 지원 비율을 반영합니다. A14</t>
  </si>
  <si>
    <t>월 고정 운영비</t>
  </si>
  <si>
    <t>판매량과 별개로 매달 발생하는 공간·시스템·회계·콘텐츠 등 비용. 기준 월 200만·300만·400만원은 예산입니다. 광고비·배송비·인건비·R&amp;D는 별도이므로 중복 포함하지 마세요. 실제 항목별 예산 합계로 교체하세요. A15</t>
  </si>
  <si>
    <t>리필 24개팩 실결제가</t>
  </si>
  <si>
    <t>리필 한 팩(24개)에 고객이 실제 결제하는 가격(VAT 포함). 기준 12,900원은 검증 전 가격입니다. 한쪽 발목에 3개 사용하면 8회분입니다. 실제 사용 빈도·재사용 여부가 월 구매를 뒷받침하는지 확인해야 합니다. A16</t>
  </si>
  <si>
    <t>리필 24개팩 원가</t>
  </si>
  <si>
    <t>리필 한 팩의 제조·포장 원가(VAT 제외). 기준 3,500→3,200→3,000원은 미확인 견적 가정이며 배송비 3,000원은 별도입니다. 실제 공급 견적과 패치·볼 재사용 정책을 확정한 뒤 수정하세요. A17</t>
  </si>
  <si>
    <t>공통 입력 · 선택한 시나리오와 관계없이 적용</t>
  </si>
  <si>
    <t>직접 정하거나 확인할 조건</t>
  </si>
  <si>
    <t>값</t>
  </si>
  <si>
    <t>입력 의미와 확인할 자료</t>
  </si>
  <si>
    <t>아래 값도 확정 계약·실적이 없는 기존 가정입니다. 금액은 별도 표시가 없으면 VAT 제외 비용입니다. 0과 빈칸은 다릅니다. 리테일 0=매출 제외, 회사 인건비 부담률 0%=사업이 전액 부담. 숫자를 낮춰 수익을 맞추기보다 견적·계약·실측으로 교체하세요.</t>
  </si>
  <si>
    <t>VAT 계산율</t>
  </si>
  <si>
    <t>매출·과세 매입의 세액 계산 비율. 현재 10% 단순 가정이며 실제 거래별 과세·공제 여부는 별도 확인해야 합니다.</t>
  </si>
  <si>
    <t>DTC 결제 수수료율</t>
  </si>
  <si>
    <t>환불 후 고객 결제액 대비 VAT 포함 결제 수수료율 가정. 환불 수수료도 반환된다고 봅니다. 실제 결제대행사 정산 조건으로 확인하세요.</t>
  </si>
  <si>
    <t>본체 출고 물류비</t>
  </si>
  <si>
    <t>본체 1대 출고 때 드는 포장·배송 등 비용. 환불돼도 최초 배송비는 발생합니다. 물류 견적으로 교체하세요.</t>
  </si>
  <si>
    <t>반품 회수 처리비</t>
  </si>
  <si>
    <t>반품 1건의 회수·검수·처리 비용. 환불률 8%일 때 출고 1대당 기대비용은 6,000×8%=480원입니다.</t>
  </si>
  <si>
    <t>본체 출고당 AS 기대비용</t>
  </si>
  <si>
    <t>출고 1대당 평균 수리·보증 비용. 예: AS 발생률 5%×건당 40,000원=2,000원. 예시는 산식 설명이며 실제 근거가 아닙니다.</t>
  </si>
  <si>
    <t>본체 출고당 변동 상담비</t>
  </si>
  <si>
    <t>본체 출고 1대에 추가로 드는 고객 상담 비용. 고정 인건비에 같은 업무를 이미 포함했다면 중복 여부를 확인하세요.</t>
  </si>
  <si>
    <t>리필 주문당 배송비</t>
  </si>
  <si>
    <t>리필 주문 1건 배송비. 현재 주문당 1팩·판매자 부담을 가정합니다. 묶음배송이나 고객 부담 배송비는 별도 반영하지 않습니다.</t>
  </si>
  <si>
    <t>리필 결제 수수료율</t>
  </si>
  <si>
    <t>리필 결제액의 수수료율. F86과 같은 VAT 포함·환불 시 반환 가정입니다. 본체와 리필의 실제 정산 수수료를 확인하세요.</t>
  </si>
  <si>
    <t>리필 환불률</t>
  </si>
  <si>
    <t>리필 출고 중 환불 비율. 100팩 중 2팩 환불 가정. 제품 원가·배송비는 남고, 회수 처리비가 추가됩니다.</t>
  </si>
  <si>
    <t>리필 구매자당 월 주문</t>
  </si>
  <si>
    <t>팩</t>
  </si>
  <si>
    <t>당월 리필 구매자 1명이 사는 팩 수. 현재 1명×1팩=1주문으로 처리합니다. 고객 전체가 매월 1팩을 산다는 뜻은 아닙니다.</t>
  </si>
  <si>
    <t>리테일 계약 가정 적용</t>
  </si>
  <si>
    <t>0 또는 1</t>
  </si>
  <si>
    <t>0=매장 납품 출고·매출 제외 / 1=위 리테일 잠재 수량 적용. 계약 확인 전에는 0을 유지하세요.</t>
  </si>
  <si>
    <t>리테일 대금 회수 지연</t>
  </si>
  <si>
    <t>개월</t>
  </si>
  <si>
    <t>납품 후 대금이 들어오기까지 개월 수. 2이면 7월 납품 대금을 9월에 받습니다. 실제 유통사 정산 계약으로 확인하세요.</t>
  </si>
  <si>
    <t>리테일 개당 출고비</t>
  </si>
  <si>
    <t>매장·유통사에 본체 1개를 납품할 때 드는 배송비. DTC 배송비와 별도입니다. 거래처별 물류 조건으로 확인하세요.</t>
  </si>
  <si>
    <t>리테일 반품률</t>
  </si>
  <si>
    <t>매장 납품 수량 중 반품되는 비율. 반품 매출은 차감하고 제품 원가·최초 배송·회수비는 비용으로 남깁니다.</t>
  </si>
  <si>
    <t>생산 최소 발주량</t>
  </si>
  <si>
    <t>이 모델은 300개를 최소량이자 주문 배수로 사용합니다(300·600·900개). 제조사의 실제 MOQ·증량 단위를 확인하세요.</t>
  </si>
  <si>
    <t>목표 안전재고</t>
  </si>
  <si>
    <t>다음 3개월 예상 출고를 채운 뒤 남기려는 여유 재고. 현재 100개는 정책 가정이며 수요 변동·납기 지연에 맞춰 조정하세요.</t>
  </si>
  <si>
    <t>제조 발주 선행 기간</t>
  </si>
  <si>
    <t>입고 몇 개월 전에 발주·선금을 낼지 정합니다. 2이면 7월 입고분 선금을 5월에 지급. 모델 시작 전 선금은 M1에 합산합니다.</t>
  </si>
  <si>
    <t>제조 계약금 비율</t>
  </si>
  <si>
    <t>제조대금 중 발주 시 먼저 내는 비율. 50%는 발주 시 절반, 입고 시 나머지 절반 지급입니다. 지급액에는 VAT를 더합니다.</t>
  </si>
  <si>
    <t>금형과 시험설비 투자</t>
  </si>
  <si>
    <t>금형·시험설비 투자액(VAT 제외). 기준 2,500만원은 견적 미확인. 출시 2개월 전 지급하고 같은 달부터 감가상각하는 가정입니다.</t>
  </si>
  <si>
    <t>감가상각 기간</t>
  </si>
  <si>
    <t>설비 비용을 손익에 나눠 반영할 개월 수. 2,500만원÷36=월 약 69만원. 현금은 설비 구매 시 먼저 나갑니다.</t>
  </si>
  <si>
    <t>M1 투자 유입 가정</t>
  </si>
  <si>
    <t>첫 달 들어온다고 가정한 투자금. 3억원은 확정 지원금·매출이 아닙니다. 실제 승인 금액과 입금 일정 확인이 필요합니다.</t>
  </si>
  <si>
    <t>최소 보유 현금 목표</t>
  </si>
  <si>
    <t>월말에 남겨두려는 최소 현금. 3,000만원보다 적으면 그 차이를 추가 필요자금으로 표시합니다. 별도 비용으로 빼지 않습니다.</t>
  </si>
  <si>
    <t>회사 인건비 현금 부담률</t>
  </si>
  <si>
    <t>인건비 중 모회사가 사업 밖에서 대신 부담하는 비율. 0%=사업 전액 부담, 100%=사업 현금지출 0. 손익상 인건비는 유지합니다.</t>
  </si>
  <si>
    <t>추가 R&amp;D 월 비용</t>
  </si>
  <si>
    <t>F열은 1년차 M4~M6에 매월 집행, G·H열은 2·3년차 매월 집행합니다. 100일 검증비·금형 투자와 별도인 추가 개발비입니다.</t>
  </si>
  <si>
    <t>100일 검증 예산</t>
  </si>
  <si>
    <t>05_100일검증의 항목별 합계를 자동 연결합니다. 바꾸려면 해당 탭의 수량·단가를 수정하세요. F109는 직접 입력하지 않습니다.</t>
  </si>
  <si>
    <t>잠재 적합고객 모수 가정</t>
  </si>
  <si>
    <t>시장 규모를 시험 계산하기 위한 잠재 고객 수. 100만명은 통계로 확인된 값이 아닙니다. 월별 판매량을 제한하지도 않습니다.</t>
  </si>
  <si>
    <t>문제 및 사용상황 적합률</t>
  </si>
  <si>
    <t>잠재 고객 중 문제·사용 상황이 맞는 비율. 20%는 고객조사 전 가정입니다. 06_시장경쟁의 조건부 시장규모에만 사용합니다.</t>
  </si>
  <si>
    <t>적합군의 유료 수용률</t>
  </si>
  <si>
    <t>적합 고객 중 유료 구매를 수용할 비율. 30%는 검증 전 가정입니다. 온라인 방문→출고 전환율(F22)과는 다른 모집단입니다.</t>
  </si>
  <si>
    <t>연간 신규 도입률</t>
  </si>
  <si>
    <t>조건부 시장 고객 중 한 해 신규 구매하는 비율. 10%는 시장규모 참고값이며 월별 매출에 직접 곱하지 않습니다.</t>
  </si>
  <si>
    <t>본체 교체주기 참고</t>
  </si>
  <si>
    <t>년</t>
  </si>
  <si>
    <t>본체 교체 시점에 대한 참고 입력. 현재 36개월 매출에는 교체구매를 자동으로 더하지 않습니다. 실제 제품 수명은 미확정입니다.</t>
  </si>
  <si>
    <t>본체 CM2 관리 목표</t>
  </si>
  <si>
    <t>본체 1대에서 광고비까지 뺀 뒤 남기려는 금액. 2만원은 내부 목표입니다. 인건비·고정비를 뺀 최종 순이익이 아닙니다.</t>
  </si>
  <si>
    <t>키트 동봉 패치 수</t>
  </si>
  <si>
    <t>본체 키트에 넣을 패치 개수. 원가 견적의 구성 확인용이며 숫자를 바꿔도 제조원가는 자동 변경되지 않습니다.</t>
  </si>
  <si>
    <t>리필 1팩 패치 수</t>
  </si>
  <si>
    <t>리필 1팩의 패치 개수. 구성 참고값입니다. 변경하면 리필 판매가·원가·월 주문량도 별도로 검토해야 합니다.</t>
  </si>
  <si>
    <t>한쪽 발목 1회 패치 수</t>
  </si>
  <si>
    <t>한쪽 발목에 한 번 사용할 패치 수. 24개÷3개=8회분. 양쪽 동시 사용·재사용 여부에 따라 실제 소모량이 달라집니다.</t>
  </si>
  <si>
    <t>시나리오는 확률 예측이 아닙니다. 확장은 가격·전환율·리필·원가가 함께 좋아지는 경우입니다. 2·3년차 성장도 검증 전 계획입니다. 실제 데이터는 08_실측입력에 기록한 뒤 조건이 같은 가정만 수동 교체하세요.</t>
  </si>
  <si>
    <t>계산 단순화: 비인건비는 과세·공제 가능한 매입으로 가정, VAT 환급은 보류하고 달력상 분기 다음 달 양수 잔액을 납부합니다. 법인세·차입금·36개월 이후 발주와 교체구매는 제외합니다. 견적·판매 실적이 생기면 다시 확인하세요.</t>
  </si>
  <si>
    <t>본체와 리필에서 실제로 남는 금액</t>
  </si>
  <si>
    <t>지표</t>
  </si>
  <si>
    <t>DTC 본체 한 대 기준</t>
  </si>
  <si>
    <t>DTC 실결제가</t>
  </si>
  <si>
    <t>환불 전 VAT 제외 매출</t>
  </si>
  <si>
    <t>비환불 비율</t>
  </si>
  <si>
    <t>출고당 순매출</t>
  </si>
  <si>
    <t>완제품 키트 원가</t>
  </si>
  <si>
    <t>결제 수수료</t>
  </si>
  <si>
    <t>출고 물류비</t>
  </si>
  <si>
    <t>기대 반품 처리비</t>
  </si>
  <si>
    <t>AS 기대비용</t>
  </si>
  <si>
    <t>변동 상담비</t>
  </si>
  <si>
    <t>광고 전 공헌이익 CM1</t>
  </si>
  <si>
    <t>유료 신규 출고 CAC</t>
  </si>
  <si>
    <t>광고 후 공헌이익 CM2</t>
  </si>
  <si>
    <t>CM2 순매출 비율</t>
  </si>
  <si>
    <t>CM2 관리 목표</t>
  </si>
  <si>
    <t>허용 가능한 CAC</t>
  </si>
  <si>
    <t>목표 CM2에 필요한 전환율</t>
  </si>
  <si>
    <t>월 고정 인건비와 운영비</t>
  </si>
  <si>
    <t>인건비·운영비 회수 출고량</t>
  </si>
  <si>
    <t>납품 채널은 공급가로 매출 인식</t>
  </si>
  <si>
    <t>리테일 VAT 제외 공급가</t>
  </si>
  <si>
    <t>리테일 비반품 비율</t>
  </si>
  <si>
    <t>리테일 출고당 순매출</t>
  </si>
  <si>
    <t>리테일 제품 원가</t>
  </si>
  <si>
    <t>리테일 물류비</t>
  </si>
  <si>
    <t>리테일 기대 반품 처리비</t>
  </si>
  <si>
    <t>리테일 AS 기대비용</t>
  </si>
  <si>
    <t>리테일 상담비</t>
  </si>
  <si>
    <t>리테일 출고당 공헌이익</t>
  </si>
  <si>
    <t>리필은 실제 유료 재구매만 반영</t>
  </si>
  <si>
    <t>리필 주문당 순매출</t>
  </si>
  <si>
    <t>리필 제품 원가</t>
  </si>
  <si>
    <t>리필 결제 수수료</t>
  </si>
  <si>
    <t>리필 출고 물류비</t>
  </si>
  <si>
    <t>리필 반품 처리 기대비용</t>
  </si>
  <si>
    <t>리필 주문당 공헌이익</t>
  </si>
  <si>
    <t>첫 리필 참여율</t>
  </si>
  <si>
    <t>월 리필 유지율</t>
  </si>
  <si>
    <t>첫 출고당 12개월 리필 주문</t>
  </si>
  <si>
    <t>12개월 추가 리필 공헌이익</t>
  </si>
  <si>
    <t>12개월 광고 전 공헌이익</t>
  </si>
  <si>
    <t>12개월 광고 후 공헌이익</t>
  </si>
  <si>
    <t>12개월 광고 전 이익 대 CAC</t>
  </si>
  <si>
    <t>배</t>
  </si>
  <si>
    <t>CM2는 고정비 차감 전입니다. 본체 원가와 반품 손실을 모두 반영했습니다. 리필 12개월 계산은 첫 구매 다음 달부터 11회 기회를 가정한 유한 기간 계산입니다.</t>
  </si>
  <si>
    <t>손익분기 출고량은 리필과 자연 유입을 제외한 유료 유입만의 보수적 참고선이며, R&amp;D와 감가상각은 추가 회수가 필요합니다.</t>
  </si>
  <si>
    <t>고객 유입에서 계산한 36개월 손익</t>
  </si>
  <si>
    <t>판매 가능 일정 가정</t>
  </si>
  <si>
    <t>출시 초기 집행 비중</t>
  </si>
  <si>
    <t>광고비 계획</t>
  </si>
  <si>
    <t>클릭당 비용</t>
  </si>
  <si>
    <t>유료 클릭</t>
  </si>
  <si>
    <t>회</t>
  </si>
  <si>
    <t>자연 유입</t>
  </si>
  <si>
    <t>출고 전환율</t>
  </si>
  <si>
    <t>유료 신규 출고</t>
  </si>
  <si>
    <t>자연 유입 신규 출고</t>
  </si>
  <si>
    <t>DTC 총 출고</t>
  </si>
  <si>
    <t>리테일 총 출고</t>
  </si>
  <si>
    <t>본체 총 출고</t>
  </si>
  <si>
    <t>DTC 환불 기대 건수</t>
  </si>
  <si>
    <t>DTC 비환불 고객</t>
  </si>
  <si>
    <t>리테일 반품 기대 건수</t>
  </si>
  <si>
    <t>총 비반품 구매자</t>
  </si>
  <si>
    <t>해당 월 리필 참여율</t>
  </si>
  <si>
    <t>해당 월 리필 유지율</t>
  </si>
  <si>
    <t>신규 리필 구매자</t>
  </si>
  <si>
    <t>전월 구매자 중 재구매</t>
  </si>
  <si>
    <t>당월 리필 구매자(연간=연말)</t>
  </si>
  <si>
    <t>리필 출고 주문</t>
  </si>
  <si>
    <t>DTC 본체 순매출</t>
  </si>
  <si>
    <t>리테일 본체 순매출</t>
  </si>
  <si>
    <t>본체 매출원가</t>
  </si>
  <si>
    <t>매출총이익</t>
  </si>
  <si>
    <t>DTC 결제 수수료</t>
  </si>
  <si>
    <t>본체 DTC 물류비</t>
  </si>
  <si>
    <t>본체 반품 처리비</t>
  </si>
  <si>
    <t>본체 AS 기대비용</t>
  </si>
  <si>
    <t>본체 변동 상담비</t>
  </si>
  <si>
    <t>리필 물류비</t>
  </si>
  <si>
    <t>리필 반품 처리비</t>
  </si>
  <si>
    <t>광고 전 공헌이익</t>
  </si>
  <si>
    <t>판매 광고비</t>
  </si>
  <si>
    <t>경제적 인건비 전액</t>
  </si>
  <si>
    <t>고정 운영비</t>
  </si>
  <si>
    <t>검증 및 추가 R&amp;D 비용</t>
  </si>
  <si>
    <t>감가상각비</t>
  </si>
  <si>
    <t>공헌이익률</t>
  </si>
  <si>
    <t>DTC 혼합 CAC</t>
  </si>
  <si>
    <t>고정 인건비와 운영비</t>
  </si>
  <si>
    <t>순매출은 VAT와 예상 환불 차감 후 금액입니다. 리필은 DTC 비환불 고객만 다음 달부터 참여합니다. 기대 고객 수는 소수일 수 있습니다.</t>
  </si>
  <si>
    <t>인건비는 회사 지원과 관계없이 전액 반영합니다. 광고 비용과 유료 CAC를 이중 차감하지 않습니다. 매출원가는 재고 이동평균법으로 연결합니다.</t>
  </si>
  <si>
    <t>발주 재고와 36개월 현금 계획</t>
  </si>
  <si>
    <t>기초 재고 수량</t>
  </si>
  <si>
    <t>제품 입고 수량</t>
  </si>
  <si>
    <t>기말 재고 수량</t>
  </si>
  <si>
    <t>입고월 적용 제조단가</t>
  </si>
  <si>
    <t>입고 제품 공급가 합계</t>
  </si>
  <si>
    <t>기초 재고 금액</t>
  </si>
  <si>
    <t>이동평균 원가</t>
  </si>
  <si>
    <t>출고 매출원가</t>
  </si>
  <si>
    <t>기말 재고 금액</t>
  </si>
  <si>
    <t>당월 신규 발주 공급가</t>
  </si>
  <si>
    <t>제조 선금 지급 VAT 포함</t>
  </si>
  <si>
    <t>제조 잔금 지급 VAT 포함</t>
  </si>
  <si>
    <t>제조 현금 지급 합계</t>
  </si>
  <si>
    <t>기말 선급금 VAT 포함</t>
  </si>
  <si>
    <t>기말 납품 매출채권 VAT 포함</t>
  </si>
  <si>
    <t>DTC 본체 수금 VAT 포함</t>
  </si>
  <si>
    <t>리테일 수금 VAT 포함</t>
  </si>
  <si>
    <t>리필 수금 VAT 포함</t>
  </si>
  <si>
    <t>현금 수입 합계</t>
  </si>
  <si>
    <t>비인건비 운영 현금 지급</t>
  </si>
  <si>
    <t>인건비 현금 지급</t>
  </si>
  <si>
    <t>금형 설비 현금 지급</t>
  </si>
  <si>
    <t>매출 VAT 발생</t>
  </si>
  <si>
    <t>매입 VAT 공제 가정</t>
  </si>
  <si>
    <t>기초 VAT 순부채</t>
  </si>
  <si>
    <t>분기 후 VAT 납부</t>
  </si>
  <si>
    <t>기말 VAT 순부채</t>
  </si>
  <si>
    <t>현금 지출 합계</t>
  </si>
  <si>
    <t>투자 전 순현금흐름</t>
  </si>
  <si>
    <t>투자 유입 가정</t>
  </si>
  <si>
    <t>기초 현금</t>
  </si>
  <si>
    <t>최소 현금 대비 부족액</t>
  </si>
  <si>
    <t>손익에서 환산한 현금흐름</t>
  </si>
  <si>
    <t>3개월 수요를 최소발주량의 배수로 매입합니다. 제조단가는 입고월 기준입니다. 선금은 선행 기간 전에, 잔금은 입고월에 지급합니다. 모델 시작 전 선금은 M1에 합산하며 조기 출시의 실제 납기 가능성은 별도 확인합니다. 리필은 월별 매입·즉시 출고 가정입니다.</t>
  </si>
  <si>
    <t>현금은 법인세 전이며 추가 투자 자동 유입은 없습니다. 음수는 자금 부족입니다. VAT 공제는 제품 입고 시점, DTC 환불과 결제는 당월 처리로 단순화했습니다.</t>
  </si>
  <si>
    <t>100일 동안 어떤 증거를 확보할 것인가</t>
  </si>
  <si>
    <t>100일 1,000만원은 검증 게임 조건입니다. 초기 사업 전체 인건비와 양산 예산은 포함하지 않습니다. 실집행과 통과 여부는 미입력 상태입니다.</t>
  </si>
  <si>
    <t>검증 항목</t>
  </si>
  <si>
    <t>수량</t>
  </si>
  <si>
    <t>단가</t>
  </si>
  <si>
    <t>계획 예산</t>
  </si>
  <si>
    <t>실집행</t>
  </si>
  <si>
    <t>잔액</t>
  </si>
  <si>
    <t>기간</t>
  </si>
  <si>
    <t>산출물</t>
  </si>
  <si>
    <t>책임 역할</t>
  </si>
  <si>
    <t>규제와 의료 자문</t>
  </si>
  <si>
    <t>D1~15</t>
  </si>
  <si>
    <t>사용목적과 인체시험 검토</t>
  </si>
  <si>
    <t>외부 자문</t>
  </si>
  <si>
    <t>고객 심층 인터뷰</t>
  </si>
  <si>
    <t>D1~25</t>
  </si>
  <si>
    <t>문제와 기존 지출 기록</t>
  </si>
  <si>
    <t>고객개발</t>
  </si>
  <si>
    <t>모집과 스크리닝</t>
  </si>
  <si>
    <t>동의와 모집 기록</t>
  </si>
  <si>
    <t>경쟁 제품 구매 비교</t>
  </si>
  <si>
    <t>D10~30</t>
  </si>
  <si>
    <t>동일 과제 비교표</t>
  </si>
  <si>
    <t>제품</t>
  </si>
  <si>
    <t>비가동 착용 목업</t>
  </si>
  <si>
    <t>D15~40</t>
  </si>
  <si>
    <t>위치와 착탈 사용성</t>
  </si>
  <si>
    <t>가동 시제품과 벤치시험</t>
  </si>
  <si>
    <t>D25~60</t>
  </si>
  <si>
    <t>온도 압력 전력 측정</t>
  </si>
  <si>
    <t>엔지니어</t>
  </si>
  <si>
    <t>감독하 사용성 관찰</t>
  </si>
  <si>
    <t>D45~80</t>
  </si>
  <si>
    <t>착용 완수와 재사용</t>
  </si>
  <si>
    <t>가격과 예약 수요 실험</t>
  </si>
  <si>
    <t>D45~90</t>
  </si>
  <si>
    <t>유효 방문과 예약 취소</t>
  </si>
  <si>
    <t>사업관리</t>
  </si>
  <si>
    <t>공급사 견적과 IP 검토</t>
  </si>
  <si>
    <t>D20~80</t>
  </si>
  <si>
    <t>3개 견적 비교 요청</t>
  </si>
  <si>
    <t>예비비</t>
  </si>
  <si>
    <t>게이트 통과 후</t>
  </si>
  <si>
    <t>재실험 예비비</t>
  </si>
  <si>
    <t>팀 리드</t>
  </si>
  <si>
    <t>합계</t>
  </si>
  <si>
    <t>월별 검증비 지출 배분</t>
  </si>
  <si>
    <t>M1</t>
  </si>
  <si>
    <t>M2</t>
  </si>
  <si>
    <t>M3</t>
  </si>
  <si>
    <t>M4</t>
  </si>
  <si>
    <t>다음 투자를 위한 판단 기준</t>
  </si>
  <si>
    <t>단계</t>
  </si>
  <si>
    <t>검증 기간</t>
  </si>
  <si>
    <t>제안 기준</t>
  </si>
  <si>
    <t>현재 상태</t>
  </si>
  <si>
    <t>필수 증거</t>
  </si>
  <si>
    <t>G0 범위와 안전</t>
  </si>
  <si>
    <t>사용목적 및 시험 범위 서면 검토</t>
  </si>
  <si>
    <t>미확인</t>
  </si>
  <si>
    <t>규제 분류 문의와 안전 검토 기록</t>
  </si>
  <si>
    <t>G1 고객 문제</t>
  </si>
  <si>
    <t>24명 중 12명 이상 최근 행동 근거</t>
  </si>
  <si>
    <t>최근 3개월 경험과 기존 지출</t>
  </si>
  <si>
    <t>G2 사용성</t>
  </si>
  <si>
    <t>D25~80</t>
  </si>
  <si>
    <t>24명 중 20명 독립 착용 완수</t>
  </si>
  <si>
    <t>착용 영상, 오류, 이상반응 기록</t>
  </si>
  <si>
    <t>G3 지불 행동</t>
  </si>
  <si>
    <t>3개 가격 각 300 유효 방문</t>
  </si>
  <si>
    <t>예약금과 취소를 별도 집계</t>
  </si>
  <si>
    <t>G4 생산 경제성</t>
  </si>
  <si>
    <t>D20~90</t>
  </si>
  <si>
    <t>견적 3개와 MOQ 현금 계획</t>
  </si>
  <si>
    <t>BOM, 리드타임, 수율 조건</t>
  </si>
  <si>
    <t>G5 다음 투자</t>
  </si>
  <si>
    <t>D91~100</t>
  </si>
  <si>
    <t>G0 통과 후 증거별 소액 집행</t>
  </si>
  <si>
    <t>진행 수정 중단 판단서</t>
  </si>
  <si>
    <t>위 수치는 팀이 사전 합의할 운영 기준 제안이며 업계 표준이나 임상 유효성 기준이 아닙니다. G3의 예약금은 판매 매출이나 구매 CAC로 인정하지 않습니다.</t>
  </si>
  <si>
    <t>G2는 안전 검토 후 수행하는 사용성 관찰입니다. 47℃ 등 미검증 조건의 인체 적용을 승인하지 않으며, 효능 시험은 별도 연구 설계와 심의를 검토합니다.</t>
  </si>
  <si>
    <t>원문 게임 예산 산술 정정</t>
  </si>
  <si>
    <t>원문 선택 카드 합계</t>
  </si>
  <si>
    <t>제외한 경쟁 제품 분석</t>
  </si>
  <si>
    <t>제외 후 올바른 합계</t>
  </si>
  <si>
    <t>원문 기재 제외 후 합계</t>
  </si>
  <si>
    <t>기재 차이</t>
  </si>
  <si>
    <t>출처 S02. 1,040만원에서 100만원을 제외하면 940만원입니다. 실제 지출 증빙은 없으며 위 새 예산은 사업 특성을 반영한 검증 계획입니다.</t>
  </si>
  <si>
    <t>고객의 대안과 확보 가능한 시장</t>
  </si>
  <si>
    <t>생리통 대안과 마사지 대안을 분리합니다. 동일 구조 미발견은 경쟁 부재나 특허 확보의 증거가 아닙니다. 가격 조회일 2026년 10월 26일.</t>
  </si>
  <si>
    <t>기업 제품</t>
  </si>
  <si>
    <t>경쟁 관계</t>
  </si>
  <si>
    <t>기술 또는 구성</t>
  </si>
  <si>
    <t>통화</t>
  </si>
  <si>
    <t>표시가</t>
  </si>
  <si>
    <t>반복 매출</t>
  </si>
  <si>
    <t>해석</t>
  </si>
  <si>
    <t>출처</t>
  </si>
  <si>
    <t>Myoovi 2.0</t>
  </si>
  <si>
    <t>고객 문제 대안</t>
  </si>
  <si>
    <t>GBP</t>
  </si>
  <si>
    <t>W01</t>
  </si>
  <si>
    <t>Livia Kit</t>
  </si>
  <si>
    <t>착용형 전기자극과 젤패드</t>
  </si>
  <si>
    <t>USD</t>
  </si>
  <si>
    <t>$29 + 월 $8 옵션</t>
  </si>
  <si>
    <t>기기와 소모품 모델은 이미 존재</t>
  </si>
  <si>
    <t>W02</t>
  </si>
  <si>
    <t>Beurer EM50</t>
  </si>
  <si>
    <t>복부 TENS와 43℃ 온열</t>
  </si>
  <si>
    <t>교체 젤패드</t>
  </si>
  <si>
    <t>결합 기능만으로 차별화 어려움</t>
  </si>
  <si>
    <t>W03</t>
  </si>
  <si>
    <t>칼라세븐 우먼스트레스프리</t>
  </si>
  <si>
    <t>국내 치료 대안</t>
  </si>
  <si>
    <t>생리통용 광 기반 기기</t>
  </si>
  <si>
    <t>확인 필요</t>
  </si>
  <si>
    <t>기업 제품 소개. 허가 범위 원문 확인 필요</t>
  </si>
  <si>
    <t>W04</t>
  </si>
  <si>
    <t>ThermaCare Menstrual</t>
  </si>
  <si>
    <t>저비용 사용 대안</t>
  </si>
  <si>
    <t>의복 부착형 일회용 온열</t>
  </si>
  <si>
    <t>일회용 교체</t>
  </si>
  <si>
    <t>8시간 온열 표방. 사용 장면 비교</t>
  </si>
  <si>
    <t>W05</t>
  </si>
  <si>
    <t>풀리오 종아리 V3</t>
  </si>
  <si>
    <t>마사지 예산 경쟁</t>
  </si>
  <si>
    <t>3중 에어셀 공기압</t>
  </si>
  <si>
    <t>KRW</t>
  </si>
  <si>
    <t>주로 본체 판매</t>
  </si>
  <si>
    <t>종아리 마사지와 발목 필요성 비교</t>
  </si>
  <si>
    <t>W06</t>
  </si>
  <si>
    <t>클럭 미니 마사지기S</t>
  </si>
  <si>
    <t>부착형 마사지기와 패드</t>
  </si>
  <si>
    <t>교체 패드</t>
  </si>
  <si>
    <t>작고 싼 대안 대비 차별화 확인</t>
  </si>
  <si>
    <t>W07</t>
  </si>
  <si>
    <t>Sea Band</t>
  </si>
  <si>
    <t>기계식 구조 참고</t>
  </si>
  <si>
    <t>손목 압박 돌기 밴드</t>
  </si>
  <si>
    <t>재사용 구조</t>
  </si>
  <si>
    <t>오심용 제품. 생리 효능 근거 아님</t>
  </si>
  <si>
    <t>W08</t>
  </si>
  <si>
    <t>Ovira Noha</t>
  </si>
  <si>
    <t>과거 비교 대상</t>
  </si>
  <si>
    <t>과거 TENS 제품</t>
  </si>
  <si>
    <t>현재 판매 확인 불충분</t>
  </si>
  <si>
    <t>현재 공식 홈은 보충제 중심. 가격 제외</t>
  </si>
  <si>
    <t>W09</t>
  </si>
  <si>
    <t>외화 가격은 해당 국가 표시가격입니다. 세금 배송 구성 할인 조건을 통일하지 않았으므로 원화 적정가격으로 환산하지 않습니다. 판매사 효능 문구는 독립 검증 사실이 아닙니다.</t>
  </si>
  <si>
    <t>시장 규모는 아래 가정의 조건부 결과</t>
  </si>
  <si>
    <t>잠재 적합고객 모수</t>
  </si>
  <si>
    <t>문제와 사용 상황 적합률</t>
  </si>
  <si>
    <t>조건부 서비스 가능 고객</t>
  </si>
  <si>
    <t>조건부 일회 구매 잠재 GMV</t>
  </si>
  <si>
    <t>연간 도입 GMV 참고</t>
  </si>
  <si>
    <t>Y1 DTC 확보 목표 가정</t>
  </si>
  <si>
    <t>Y1 비환불 DTC 고객</t>
  </si>
  <si>
    <t>Y1 총 순매출</t>
  </si>
  <si>
    <t>100만명과 적합률 및 유료 수용률은 시장 통계가 아닙니다. 조건부 SAM 계산용 입력이며 확정 TAM으로 인용하지 않습니다. SOM은 광고 예산과 전환율에서 계산합니다.</t>
  </si>
  <si>
    <t>원문의 글로벌 3,120억 달러와 국내 7.6조원은 원출처와 제품 범위가 확인되지 않아 채택하지 않았습니다. N91 48만명과 W케어 16만명도 실제 구매자 수가 아닙니다.</t>
  </si>
  <si>
    <t>확장 조건은 원가와 CAC 검증, 고객 재사용, 유통 계약입니다. 올리브영 입점과 고객 데이터 접근을 확정 자산으로 간주하지 않습니다. 기본 재무에는 리테일 매출을 넣지 않았습니다.</t>
  </si>
  <si>
    <t>원문 주장과 외부 근거의 적용 범위</t>
  </si>
  <si>
    <t>ID</t>
  </si>
  <si>
    <t>근거 종류</t>
  </si>
  <si>
    <t>자료명</t>
  </si>
  <si>
    <t>채택한 내용</t>
  </si>
  <si>
    <t>위치 또는 URL</t>
  </si>
  <si>
    <t>해석 제한</t>
  </si>
  <si>
    <t>S01</t>
  </si>
  <si>
    <t>사용자 제안서</t>
  </si>
  <si>
    <t>KakaoTalk20260925.txt</t>
  </si>
  <si>
    <t>아이디어 타깃 수익모델 및 3억원 사용 계획</t>
  </si>
  <si>
    <t>첨부 원문</t>
  </si>
  <si>
    <t>원안의 주장과 계획이며 검증 실적이 아님</t>
  </si>
  <si>
    <t>S02</t>
  </si>
  <si>
    <t>사용자 면접 자료</t>
  </si>
  <si>
    <t>KakaoTalk20260923.txt</t>
  </si>
  <si>
    <t>100일 게임과 카드 선택 예산</t>
  </si>
  <si>
    <t>게임 선택 합계 산술 수정</t>
  </si>
  <si>
    <t>S03</t>
  </si>
  <si>
    <t>사용자 목업 4장</t>
  </si>
  <si>
    <t>KakaoTalk_20261023 이미지</t>
  </si>
  <si>
    <t>온도 배터리 소재 및 사용 장면</t>
  </si>
  <si>
    <t>첨부 이미지</t>
  </si>
  <si>
    <t>완제품 또는 인증 증빙 아님</t>
  </si>
  <si>
    <t>S04</t>
  </si>
  <si>
    <t>2025년 2기 가이드</t>
  </si>
  <si>
    <t>ONLYONE FRONTIER 2기 지원 가이드</t>
  </si>
  <si>
    <t>최대 3억원 및 1년 독립 추진 지원</t>
  </si>
  <si>
    <t>PDF p3 p10 p11</t>
  </si>
  <si>
    <t>3기 현재 일정과 확정 지원 조건으로 전용 금지</t>
  </si>
  <si>
    <t>S05</t>
  </si>
  <si>
    <t>기존 계산 모델</t>
  </si>
  <si>
    <t>그날의류 면접시뮬레이션 v5 탭별결론형</t>
  </si>
  <si>
    <t>가격 149000 원가 40000 CAC 30000 출고15000</t>
  </si>
  <si>
    <t>기존 01 가정입력</t>
  </si>
  <si>
    <t>실제 제안서 수치가 아닌 종전 계산 가정</t>
  </si>
  <si>
    <t>회사 공식 상품</t>
  </si>
  <si>
    <t>Myoovi 2.0 및 리필</t>
  </si>
  <si>
    <t>£79.99 기기 £13.50 패드</t>
  </si>
  <si>
    <t>https://myoovi.co.uk/collections/all</t>
  </si>
  <si>
    <t>제품 기능은 회사 설명. 한국 허가와 판매량 미확인</t>
  </si>
  <si>
    <t>단품 $129 및 $29+월$8 옵션</t>
  </si>
  <si>
    <t>https://mylivia.com/products/livia-1</t>
  </si>
  <si>
    <t>약정 해지 조건은 구매 전 별도 확인</t>
  </si>
  <si>
    <t>TENS 온열 43℃ 및 교체 젤패드</t>
  </si>
  <si>
    <t>https://www.beurer.com/global/p/64854/</t>
  </si>
  <si>
    <t>가격 채택 안 함. 한국 페이지는 준비중 표시</t>
  </si>
  <si>
    <t>기업 등록 제품 소개</t>
  </si>
  <si>
    <t>우먼스트레스프리</t>
  </si>
  <si>
    <t>생리통 치료용 광 기반 기기</t>
  </si>
  <si>
    <t>https://dhnet.kodhia.or.kr/core/?cid=100&amp;dSeq=26</t>
  </si>
  <si>
    <t>기업 소개를 사용. 허가번호와 사용목적 독립 재확인 필요</t>
  </si>
  <si>
    <t>일회용 의복 부착형 온열 제품</t>
  </si>
  <si>
    <t>https://www.thermacare.com/heat-wraps/menstrual-pain-therapy/</t>
  </si>
  <si>
    <t>8시간은 회사 표시 기능. 당사 효과로 전용 불가</t>
  </si>
  <si>
    <t>회사 공식몰</t>
  </si>
  <si>
    <t>3중 에어셀과 표시가 159000원</t>
  </si>
  <si>
    <t>https://puliodays.com/</t>
  </si>
  <si>
    <t>국내 마사지 예산 경쟁. 생리주기 치료 대안으로 표기 안 함</t>
  </si>
  <si>
    <t>표시가 59900원과 패드 교체 구조</t>
  </si>
  <si>
    <t>https://klug.kr/category/마사지기/47/</t>
  </si>
  <si>
    <t>별도 구성과 행사에 따라 가격 변동</t>
  </si>
  <si>
    <t>회사 공식 설명</t>
  </si>
  <si>
    <t>손목 지압 돌기와 재사용 구조</t>
  </si>
  <si>
    <t>https://sea-band.com/pages/why-seaband</t>
  </si>
  <si>
    <t>오심 대상. 생리통이나 주기 개선 근거 아님</t>
  </si>
  <si>
    <t>Ovira</t>
  </si>
  <si>
    <t>현재 홈과 상품 목록은 보충제 중심</t>
  </si>
  <si>
    <t>https://ovira.com/</t>
  </si>
  <si>
    <t>Noha의 현재 판매를 확인하지 못해 가격 비교 제외</t>
  </si>
  <si>
    <t>W10</t>
  </si>
  <si>
    <t>학술 종설</t>
  </si>
  <si>
    <t>Cochrane 2016</t>
  </si>
  <si>
    <t>42개 연구 4640명 효과 근거 낮음 또는 매우 낮음</t>
  </si>
  <si>
    <t>https://www.cochrane.org/evidence/CD007854_acupuncture-period-pain</t>
  </si>
  <si>
    <t>문헌 검색 시점 2015년 9월. 후속 연구와 함께 해석</t>
  </si>
  <si>
    <t>W11</t>
  </si>
  <si>
    <t>무작위 연구</t>
  </si>
  <si>
    <t>Blödt 2018</t>
  </si>
  <si>
    <t>221명 자가 지압 대 통상 관리 통증 비교</t>
  </si>
  <si>
    <t>https://pubmed.ncbi.nlm.nih.gov/29155036/</t>
  </si>
  <si>
    <t>3주기 차이 -0.6 6주기 -1.4 NRS. 본 제품 연구 아님</t>
  </si>
  <si>
    <t>W12</t>
  </si>
  <si>
    <t>Aksoy Can 2025</t>
  </si>
  <si>
    <t>56명 LI4 ST36 SP6 자가 지압 대 모의 지압</t>
  </si>
  <si>
    <t>https://link.springer.com/article/10.1186/s12906-025-04965-0</t>
  </si>
  <si>
    <t>통증과 편안함 지표. 주기 정상화 또는 공기압 기기 검증 아님</t>
  </si>
  <si>
    <t>W13</t>
  </si>
  <si>
    <t>정부 지침</t>
  </si>
  <si>
    <t>MFDS 2026년 2월 판단기준</t>
  </si>
  <si>
    <t>사용목적과 위해도 및 표시 광고 종합 판단</t>
  </si>
  <si>
    <t>https://mfds.go.kr/law/board/boardDetail.do?brdId=data0010&amp;menuKey=29&amp;seq=15229</t>
  </si>
  <si>
    <t>세부 원문은 대한병원협회 첨부본 PDF p17~19 참고</t>
  </si>
  <si>
    <t>W14</t>
  </si>
  <si>
    <t>정부 지침 원문</t>
  </si>
  <si>
    <t>MFDS 판단기준 PDF</t>
  </si>
  <si>
    <t>의료기기와 웰니스 구분</t>
  </si>
  <si>
    <t>https://www.kha.or.kr/kha_home/notice_list.do?articleNo=46304&amp;attachNo=424222&amp;mode=download</t>
  </si>
  <si>
    <t>법적 허가 결론이 아님. 본 제품 분류 개별 검토 필요</t>
  </si>
  <si>
    <t>W15</t>
  </si>
  <si>
    <t>CJ 공식 보도</t>
  </si>
  <si>
    <t>W케어 2025년 3월 확장</t>
  </si>
  <si>
    <t>상품 약 18000개 및 체험 공간 운영</t>
  </si>
  <si>
    <t>https://cjnews.cj.net/올리브영-여성-건강-위한-w케어-육성-박차상품/</t>
  </si>
  <si>
    <t>카테고리 존재 확인. 당사 입점 및 데이터 권한 의미 아님</t>
  </si>
  <si>
    <t>W16</t>
  </si>
  <si>
    <t>전문학회 안내</t>
  </si>
  <si>
    <t>ACOG Amenorrhea</t>
  </si>
  <si>
    <t>무월경의 의학적 평가 필요</t>
  </si>
  <si>
    <t>https://www.acog.org/womens-health/faqs/amenorrhea-absence-of-periods</t>
  </si>
  <si>
    <t>생리 지연을 단순 셀프케어 문제로만 규정하지 않음</t>
  </si>
  <si>
    <t>W17</t>
  </si>
  <si>
    <t>정부 의료정보</t>
  </si>
  <si>
    <t>NCI 경구피임약과 암</t>
  </si>
  <si>
    <t>위험과 일부 암 위험 감소를 함께 설명</t>
  </si>
  <si>
    <t>https://www.cancer.gov/about-cancer/causes-prevention/risk/hormones/oral-contraceptives-fact-sheet</t>
  </si>
  <si>
    <t>원문 약물 공포 중심 비교는 삭제 권고</t>
  </si>
  <si>
    <t>W18</t>
  </si>
  <si>
    <t>정부 보도</t>
  </si>
  <si>
    <t>보건복지부 N91 설명</t>
  </si>
  <si>
    <t>N91은 무월경 소량 및 희발 월경</t>
  </si>
  <si>
    <t>https://www.mohw.go.kr/board.es?act=view&amp;bid=0027&amp;list_no=305444&amp;mid=a10503010100</t>
  </si>
  <si>
    <t>2014년 자료는 코드 의미 확인용. 최신 48만명 근거 아님</t>
  </si>
  <si>
    <t>원안 주장별 현재 판단</t>
  </si>
  <si>
    <t>원문 주장</t>
  </si>
  <si>
    <t>상태</t>
  </si>
  <si>
    <t>반영 조치</t>
  </si>
  <si>
    <t>생리 지연과 불순 개선</t>
  </si>
  <si>
    <t>제품 직접 근거 없음</t>
  </si>
  <si>
    <t>통증 연구를 주기 개선으로 확대하지 않음</t>
  </si>
  <si>
    <t>S01 W10 W11 W12</t>
  </si>
  <si>
    <t>황토볼 소재 자체 우월성</t>
  </si>
  <si>
    <t>미검증</t>
  </si>
  <si>
    <t>동일 형상 다른 소재와 비교 필요</t>
  </si>
  <si>
    <t>37 42 47℃와 2시간 작동</t>
  </si>
  <si>
    <t>목표 사양</t>
  </si>
  <si>
    <t>열 압력 전력 실측 전 확정 안 함</t>
  </si>
  <si>
    <t>최초 구조와 특허</t>
  </si>
  <si>
    <t>전시회 미발견은 선행기술 조사 아님</t>
  </si>
  <si>
    <t>W케어 PB와 고객 데이터</t>
  </si>
  <si>
    <t>협업 제안</t>
  </si>
  <si>
    <t>입점과 데이터 이용 계약 없음</t>
  </si>
  <si>
    <t>S01 W15</t>
  </si>
  <si>
    <t>글로벌 3120억 달러와 국내 7.6조원</t>
  </si>
  <si>
    <t>원출처 미확인</t>
  </si>
  <si>
    <t>확정 TAM SAM 숫자에서 제외</t>
  </si>
  <si>
    <t>N91 연간 48만명</t>
  </si>
  <si>
    <t>최신 원자료 미확인</t>
  </si>
  <si>
    <t>환자 수와 구매자 수는 다름</t>
  </si>
  <si>
    <t>S01 W18</t>
  </si>
  <si>
    <t>W케어 누적 가입 16만명</t>
  </si>
  <si>
    <t>과거 수치 주장</t>
  </si>
  <si>
    <t>현재 획득 가능 고객으로 사용 안 함</t>
  </si>
  <si>
    <t>1년 투자금 3억원</t>
  </si>
  <si>
    <t>신청 계획과 과거 가이드</t>
  </si>
  <si>
    <t>당해 기수 지원 계약 확인 필요</t>
  </si>
  <si>
    <t>S01 S04</t>
  </si>
  <si>
    <t>현재 고객 검증과 매출</t>
  </si>
  <si>
    <t>증빙 미제공</t>
  </si>
  <si>
    <t>0명 또는 0원으로 확정하지 않음</t>
  </si>
  <si>
    <t>S01 S02</t>
  </si>
  <si>
    <t>제안서 투자금 원안</t>
  </si>
  <si>
    <t>원안 용도</t>
  </si>
  <si>
    <t>금액 원</t>
  </si>
  <si>
    <t>MVP 사용자 테스트</t>
  </si>
  <si>
    <t>제품 고도화</t>
  </si>
  <si>
    <t>양산 설계 검증</t>
  </si>
  <si>
    <t>초도 생산</t>
  </si>
  <si>
    <t>시장 검증 마케팅</t>
  </si>
  <si>
    <t>디자인 운영</t>
  </si>
  <si>
    <t>예비 투자재</t>
  </si>
  <si>
    <t>원안 합계</t>
  </si>
  <si>
    <t>외부 자료 조회일 2026년 10월 26일. 가격은 조회 당시 표시가이며 재고 또는 한국 내 허가를 보장하지 않습니다. 사업 가정 A01부터 A17은 본 보고서의 계산 입력입니다.</t>
  </si>
  <si>
    <t>실제 검증 결과가 쌓이면 입력할 곳</t>
  </si>
  <si>
    <t>노란 칸은 실제 관측값만 입력합니다. 빈칸은 미관측이며 0과 다릅니다. 예약금과 제품 출고를 구분합니다. 입력해도 사업 가정을 자동으로 덮어쓰지 않습니다.</t>
  </si>
  <si>
    <t>관측 항목</t>
  </si>
  <si>
    <t>입력 또는 계산</t>
  </si>
  <si>
    <t>정의</t>
  </si>
  <si>
    <t>광고와 모집 지출</t>
  </si>
  <si>
    <t>관측 기간 신규 고객 획득에 쓴 금액</t>
  </si>
  <si>
    <t>유효 방문 수</t>
  </si>
  <si>
    <t>중복과 내부 테스트 제외</t>
  </si>
  <si>
    <t>환불 가능한 예약자</t>
  </si>
  <si>
    <t>제품 매출로 인정하지 않음</t>
  </si>
  <si>
    <t>예약 취소자</t>
  </si>
  <si>
    <t>관측 기간 내 취소</t>
  </si>
  <si>
    <t>실제 첫 제품 출고</t>
  </si>
  <si>
    <t>주문 후 첫 출고까지 완료</t>
  </si>
  <si>
    <t>제품 전액 환불</t>
  </si>
  <si>
    <t>출고 집단과 같은 추적 기간</t>
  </si>
  <si>
    <t>재구매 관측 대상</t>
  </si>
  <si>
    <t>관측 기간을 모두 지난 적격 고객</t>
  </si>
  <si>
    <t>실제 리필 재구매자</t>
  </si>
  <si>
    <t>무상 증정 제외 유료 재구매</t>
  </si>
  <si>
    <t>VAT 포함, 프로모션 명시</t>
  </si>
  <si>
    <t>검수 후 완제품 원가</t>
  </si>
  <si>
    <t>견적 또는 실제 BOM 공급가</t>
  </si>
  <si>
    <t>사용성 평가 참여자</t>
  </si>
  <si>
    <t>안전 검토와 동의 완료</t>
  </si>
  <si>
    <t>독립 착용 완수자</t>
  </si>
  <si>
    <t>설정된 과제를 도움 없이 완료</t>
  </si>
  <si>
    <t>보고된 안전 관련 사건</t>
  </si>
  <si>
    <t>건</t>
  </si>
  <si>
    <t>0도 직접 기록한 경우만 입력</t>
  </si>
  <si>
    <t>실제 출고 CAC</t>
  </si>
  <si>
    <t>제품 환불률</t>
  </si>
  <si>
    <t>리필 재구매율</t>
  </si>
  <si>
    <t>독립 착용 완수율</t>
  </si>
  <si>
    <t>예약 취소율</t>
  </si>
  <si>
    <t>선택 가정의 허용 CAC</t>
  </si>
  <si>
    <t>CAC 비교</t>
  </si>
  <si>
    <t>판단</t>
  </si>
  <si>
    <t>제품 판매 준비가 완료되기 전에는 예약 수요만 평가합니다. 예약 CAC를 위 실제 출고 CAC에 넣지 않습니다. 동일 가격과 채널 및 환불 관측 기간에서 비교하세요.</t>
  </si>
  <si>
    <t>소수 표본은 추정 오차가 큽니다. 예를 들어 24명 중 20명 완수는 83%지만 모집단 83%를 보장하지 않습니다. 체험과 유효성은 별도 판단합니다.</t>
  </si>
  <si>
    <t>계산과 연결 검증</t>
  </si>
  <si>
    <t>최대 차이 또는 상태</t>
  </si>
  <si>
    <t>재고 수량 수불 차이</t>
  </si>
  <si>
    <t>재고 금액 수불 차이</t>
  </si>
  <si>
    <t>현금 흐름 두 방식 차이</t>
  </si>
  <si>
    <t>현금 잔액 수불 차이</t>
  </si>
  <si>
    <t>매출 합계 차이</t>
  </si>
  <si>
    <t>기말 재고 음수 수량</t>
  </si>
  <si>
    <t>리필 구매자 수불 차이</t>
  </si>
  <si>
    <t>100일 예산 합계 차이</t>
  </si>
  <si>
    <t>100일 배분 비중 합계</t>
  </si>
  <si>
    <t>원안 투자금 합계 차이</t>
  </si>
  <si>
    <t>리테일 스위치 0일 때 매출</t>
  </si>
  <si>
    <t>실측 자료의 현재 상태</t>
  </si>
  <si>
    <t>계산 정상은 수요나 효능 검증을 뜻하지 않습니다. 이 탭은 결과를 관찰하며 가정과 손익 및 요약의 계산에 다시 연결하지 않습니다.</t>
  </si>
  <si>
    <t>그날의 류 | 린캔버스 작성·복사</t>
  </si>
  <si>
    <t>① 01_가정에서 숫자 수정  →  ② 이 탭의 노란색 서술 수정  →  ③ 오른쪽 문안을 양식에 복사</t>
  </si>
  <si>
    <t>현재 시나리오</t>
  </si>
  <si>
    <t>시나리오 선택: 01_가정!F4 (1 보수 / 2 기준 / 3 낙관)</t>
  </si>
  <si>
    <t>팀명</t>
  </si>
  <si>
    <t>그날의 류</t>
  </si>
  <si>
    <t>사업 대상</t>
  </si>
  <si>
    <t>B2C</t>
  </si>
  <si>
    <t>아이디어명</t>
  </si>
  <si>
    <t>그날의 류 — 발목 온열·압박 셀프케어와 교체형 패치</t>
  </si>
  <si>
    <t>팀원 1</t>
  </si>
  <si>
    <t>손수민</t>
  </si>
  <si>
    <t>사업 총괄·고객 검증·유통 협의 (역할 초안)</t>
  </si>
  <si>
    <t>팀원 2</t>
  </si>
  <si>
    <t>사업성·손익·현금흐름 검증 (역할 초안)</t>
  </si>
  <si>
    <t>팀원 3</t>
  </si>
  <si>
    <t>제품 개발·안전성·제조 검증 (역할 초안)</t>
  </si>
  <si>
    <t>팀원 이름·역할은 실제 구성에 맞춰 확정하세요. 아래 문안은 검증 전 사업계획 초안이며, 시장규모·매출·고객지표는 실적이 아닌 선택 시나리오의 가정입니다.</t>
  </si>
  <si>
    <t>숫자 확인 | 금액: 백만원, 본체 출고: 개</t>
  </si>
  <si>
    <t>순매출 (VAT 제외·환불 차감)</t>
  </si>
  <si>
    <t>손익상 총비용 (감가상각 포함)</t>
  </si>
  <si>
    <t>기말 현금 (추가 조달 전)</t>
  </si>
  <si>
    <t>노란색 칸에는 설명을 수정하고, 숫자는 01_가정에서 수정하세요. 오른쪽 칸은 수식이므로 덮어쓰지 마세요. 복사할 때는 오른쪽 셀을 선택해 Ctrl+C 후 양식 입력란에 붙여넣으세요.</t>
  </si>
  <si>
    <t>01  문제 (Problem)</t>
  </si>
  <si>
    <t>서술 초안 | 직접 수정</t>
  </si>
  <si>
    <t>제출 문안 | 자동 연결 · 이 셀을 복사</t>
  </si>
  <si>
    <t>생리 전후 불편감 때문에 온열·마사지 등 셀프케어를 하는 성인 여성 중, 손으로 발목의 같은 부위를 반복해서 누르는 방식이 번거롭고 위치·압박 강도를 일정하게 유지하기 어렵다는 고객 가설을 검증한다. 기존 대안은 손 지압, 온열팩, 저주파 기기, 일반 마사지기 등이다. 생리 지연·불순 개선은 원안의 문제의식이며, 본 제품의 효과로 입증된 사실은 아니다.</t>
  </si>
  <si>
    <t>작성 근거: 실제 아이디어 제안서·고객 가설. 07_근거원문 참조. 고객 인터뷰 후 표현을 수정하세요.</t>
  </si>
  <si>
    <t>02  고객 세그먼트 (Customer Segments)</t>
  </si>
  <si>
    <t>초기 고객은 생리 전후 불편감으로 온열·마사지 제품을 이미 사용하며, 집이나 사무실에서 앉아 있는 동안 짧은 셀프케어를 원하는 성인 여성으로 설정한다. 모든 여성을 한 번에 대상으로 삼기보다, 기존 대안에 시간·비용을 쓰고 반복 사용 의사가 있는 고객부터 검증한다. 구매자·사용자·사용 상황과 가격 수용도를 인터뷰로 구체화한다.</t>
  </si>
  <si>
    <t>초기 고객은 가설입니다. 고객 범위를 좁힐수록 06_시장경쟁의 시장규모 가정도 함께 검토하세요.</t>
  </si>
  <si>
    <t>03  가치 제안 (Unique Value Proposition)</t>
  </si>
  <si>
    <t>손으로 계속 누르지 않아도 발목 셀프케어를 반복할 수 있도록, 착용 위치 안내와 온열·공기압 기능을 결합한 사용 경험을 제공하고자 한다. 핵심 가치는 짧은 시간 안에 간편하게 착용·사용하는 편의성이다. 생리주기 정상화나 치료 효과를 약속하지 않으며, 지불 의사와 실제 사용 편의성을 우선 확인한다.</t>
  </si>
  <si>
    <t>차별화는 고객이 체감하고 비용을 지불하는 이유로 쓰세요. 임상 효능은 확인된 근거 범위에서만 표현하세요.</t>
  </si>
  <si>
    <t>04  해결책 (Solution)</t>
  </si>
  <si>
    <t>황토 반구형 교체 패치와 발목 착용형 온열·공기압 기기를 결합하는 제품을 구상한다. 원안의 SP6·KI6·KI3 위치를 참고한 부착 안내와 작동 제어를 시제품에서 검토한다. 온도·압박·사용 시간은 안전성 검증 후 확정하고, 패치 부착성·피부 반응·착용성·반복 사용성을 먼저 시험한다. 초기 검증 결과에 따라 기능과 제품 구성을 축소하거나 조정한다.</t>
  </si>
  <si>
    <t>제안 사양과 확정 사양을 구분하세요. 05_100일검증에서 시제품·사용성·제조 검증 예산을 확인할 수 있습니다.</t>
  </si>
  <si>
    <t>05  경쟁 우위 (Unfair Advantage)</t>
  </si>
  <si>
    <t>현재 확인된 독점 특허·임상 데이터·독점 유통계약은 없다. 초기에는 착용 위치 안내, 압박·온열 제어와 안전 설계, 반복 사용·고객 피드백 데이터를 축적해 모방하기 어려운 사용 경험과 품질 관리 체계를 만드는 것이 목표다. 유통사 접점은 협의 기회로 다루며, 계약 또는 접근 가능한 고객을 이미 확보한 것으로 표현하지 않는다.</t>
  </si>
  <si>
    <t>보유 우위와 구축 계획을 구분했습니다. 실제 특허·계약·시험 성적이 확보되면 노란색 칸에 반영하세요.</t>
  </si>
  <si>
    <t>06  수익 창출 방안 (Revenue Streams)</t>
  </si>
  <si>
    <t>본체 판매와 교체 패치의 반복 구매를 수익원으로 설계한다. 초기에는 자사 온라인 판매를 우선하고, 패치 반복 구매는 별도 가정으로 검증한다. 아래 매출은 실적이나 확정 수주가 아닌 시뮬레이션이다.</t>
  </si>
  <si>
    <t>가격·판매량·패치: 01_가정 → 03_월별손익. 매출은 VAT 제외·환불 차감 기준, 가격은 소비자 결제가격입니다.</t>
  </si>
  <si>
    <t>07  비용 구조 (Cost Structure)</t>
  </si>
  <si>
    <t>주요 비용은 본체·패치 제조원가, 배송·결제·반품·보증, 광고비, 인건비, 고정운영비, 시제품·연구개발 및 감가상각이다. 금형·설비 투자와 재고 선발주는 손익 비용과 집행 시점이 달라 현금흐름을 별도로 관리한다.</t>
  </si>
  <si>
    <t>총비용 = 순매출 − 영업이익. 금형·설비는 현금지출과 감가상각을 구분합니다. 회사 인건비 지원은 01_가정!F107에서 현금에만 반영합니다.</t>
  </si>
  <si>
    <t>08  채널 (Channels)</t>
  </si>
  <si>
    <t>초기에는 고객 인터뷰 참여자와 자사 온라인 채널을 통해 사용성과 지불 의사를 검증하고, 콘텐츠·검색·소셜 광고에서 구매 전환을 측정한다. 이후 검증된 수익성과 제조·공급 안정성을 바탕으로 전문 유통 및 리테일 협의를 진행한다. Wcare 등 접점은 협의 후보이며 입점·물량 확정으로 간주하지 않는다.</t>
  </si>
  <si>
    <t>01_가정!F95는 모델의 리테일 반영 스위치입니다. 1로 바꿔도 실제 계약을 의미하지 않습니다.</t>
  </si>
  <si>
    <t>09  핵심 지표 (Key Metrics)</t>
  </si>
  <si>
    <t>100일 동안 고객 인터뷰, 독립 착용 가능 여부, 가격별 유료 전환, 제조 견적·안전성 자료를 확인한다. 출시 후에는 본체 출고, 환불률, 광고 고객획득비용(CAC), 광고 후 본체 공헌이익(CM2), 패치 첫 구매 참여율·잔존율, 월말 현금을 함께 관리한다. 예약·의향과 실제 결제·출고는 구분한다.</t>
  </si>
  <si>
    <t>자동 수치는 목표·가정입니다. 실측은 08_실측입력에 기록하고 목표를 달성한 것으로 미리 표시하지 마세요.</t>
  </si>
  <si>
    <t>별첨 1  핵심 컨셉</t>
  </si>
  <si>
    <t>손으로 계속 누르는 번거로움을 줄이기 위해, 교체형 패치와 온열·공기압을 결합한 발목 착용형 셀프케어 제품 및 패치 반복 구매 모델.</t>
  </si>
  <si>
    <t>원안의 제품 개념을 한 문장으로 정리했습니다. 실제 검증·제조 결과에 맞춰 수정하세요.</t>
  </si>
  <si>
    <t>별첨 2  첫 번째 고객</t>
  </si>
  <si>
    <t>최근 생리 전후 불편감 때문에 온열·마사지 등 셀프케어에 비용을 지불했고, 집이나 사무실에서 앉아 있는 동안 손을 쓰지 않는 발목 셀프케어를 시도해 볼 의사가 있는 성인 여성. 기존 대안의 불편과 새로운 제품에 지불할 의사를 인터뷰와 실제 구매 행동으로 확인한다.</t>
  </si>
  <si>
    <t>연령만으로 정의하기보다 최근 행동·지출·사용 장면을 기준으로 모집하세요.</t>
  </si>
  <si>
    <t>별첨 3  시장 크기 (TAM · SAM · SOM)</t>
  </si>
  <si>
    <t>TAM은 제품 범주·지역·고객 정의와 공신력 있는 통계를 추가 확인한 뒤 확정한다. 광의의 여성건강 시장 전체를 본 제품의 수요로 사용하지 않는다. 아래 SAM·SOM은 외부 시장조사로 확정된 규모가 아닌 고객 수·적합도·지불 의사에 따른 상향식 가정이다.</t>
  </si>
  <si>
    <t>01_가정!F110:F113 → 06_시장경쟁!F24:F35. SAM 잠재 거래액과 SOM 순매출은 기준이 달라 직접 나누어 점유율로 쓰지 마세요.</t>
  </si>
  <si>
    <t>별첨 4  기존 대안재</t>
  </si>
  <si>
    <t>고객이 현재 선택하는 대안은 온열팩, 손 지압·마사지, 저주파 자극 기기, 일반 마사지기 등이다. 제품별로 사용 부위·목적·규제 분류가 달라 모두를 동일한 직접 경쟁사로 간주하지 않는다. 가격뿐 아니라 사용 편의, 소모품, 반복 사용 부담과 실제 지불 의사를 비교한다.</t>
  </si>
  <si>
    <t>비교 근거·확인 시점: 06_시장경쟁 및 07_근거원문. 타사 효능을 본 제품의 효능으로 인용하지 마세요.</t>
  </si>
  <si>
    <t>숫자 수정 위치 | 기준 시나리오를 선택한 경우</t>
  </si>
  <si>
    <t>가격 / 본체 제조원가</t>
  </si>
  <si>
    <t>01_가정!F12:H12 / F16:H16</t>
  </si>
  <si>
    <t>1~3년차 가격·제조원가</t>
  </si>
  <si>
    <t>광고 CPC / 구매 전환율</t>
  </si>
  <si>
    <t>01_가정!F20:H20 / F24:H24</t>
  </si>
  <si>
    <t>CAC와 판매량, 수익·현금이 함께 변합니다.</t>
  </si>
  <si>
    <t>광고 예산 / 자연 유입</t>
  </si>
  <si>
    <t>01_가정!F44:H44 / F40:H40</t>
  </si>
  <si>
    <t>출시 후 판매량을 결정하는 가정</t>
  </si>
  <si>
    <t>패치 첫 구매 / 월 잔존율</t>
  </si>
  <si>
    <t>01_가정!F32:H32 / F36:H36</t>
  </si>
  <si>
    <t>리필 반복 매출에 반영</t>
  </si>
  <si>
    <t>상근 인원 / 월 급여</t>
  </si>
  <si>
    <t>01_가정!F60:H60 / F64:H64</t>
  </si>
  <si>
    <t>손익상 비용과 현금 부담에 반영</t>
  </si>
  <si>
    <t>시장 고객 수·적합도·도입률</t>
  </si>
  <si>
    <t>01_가정!F110:F113</t>
  </si>
  <si>
    <t>별첨 시장규모 문안에 반영</t>
  </si>
  <si>
    <t>보수·낙관 시나리오를 선택했다면 01_가정의 해당 시나리오 입력행을 수정하세요. 활성 가정행은 수식입니다. 제출 전 팀원·역할·효능 표현·시장 근거를 확인하고, 웹 양식에 붙여넣은 뒤 줄바꿈과 숫자를 다시 확인하세요.</t>
  </si>
  <si>
    <t>리필 매출원가</t>
    <phoneticPr fontId="24" type="noConversion"/>
  </si>
  <si>
    <t>복부 TENS와 온열</t>
    <phoneticPr fontId="24" type="noConversion"/>
  </si>
  <si>
    <t>교체 패드 £13.50</t>
    <phoneticPr fontId="24" type="noConversion"/>
  </si>
  <si>
    <t>지압 대비 편의와 체감 가치를 비교</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</si>
</sst>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6" formatCode="yyyy\-mm"/>
    <numFmt numFmtId="177" formatCode="#,##0;\(#,##0\);&quot;-&quot;"/>
    <numFmt numFmtId="178" formatCode="0.0%;\(0.0%\);&quot;-&quot;"/>
    <numFmt numFmtId="179" formatCode="#,##0.0;\(#,##0.0\);\–"/>
    <numFmt numFmtId="180" formatCode="#,##0;\(#,##0\);\–"/>
    <numFmt numFmtId="181" formatCode="0.0%"/>
  </numFmts>
  <fonts count="25">
    <font>
      <sz val="11"/>
      <name val="Carlito"/>
    </font>
    <font>
      <sz val="10"/>
      <color rgb="FF17212B"/>
      <name val="Noto Sans CJK KR"/>
      <family val="3"/>
      <charset val="129"/>
    </font>
    <font>
      <b/>
      <sz val="16"/>
      <color rgb="FF000000"/>
      <name val="Noto Sans CJK KR"/>
      <family val="3"/>
      <charset val="129"/>
    </font>
    <font>
      <sz val="10"/>
      <color rgb="FF0000FF"/>
      <name val="Noto Sans CJK KR"/>
      <family val="3"/>
      <charset val="129"/>
    </font>
    <font>
      <sz val="9"/>
      <color rgb="FF17212B"/>
      <name val="Noto Sans CJK KR"/>
      <family val="3"/>
      <charset val="129"/>
    </font>
    <font>
      <sz val="10"/>
      <color rgb="FF000000"/>
      <name val="Noto Sans CJK KR"/>
      <family val="3"/>
      <charset val="129"/>
    </font>
    <font>
      <sz val="10"/>
      <color rgb="FFFFFFFF"/>
      <name val="Noto Sans CJK KR"/>
      <family val="3"/>
      <charset val="129"/>
    </font>
    <font>
      <b/>
      <sz val="10"/>
      <color rgb="FFFFFFFF"/>
      <name val="Noto Sans CJK KR"/>
      <family val="3"/>
      <charset val="129"/>
    </font>
    <font>
      <b/>
      <sz val="10"/>
      <color rgb="FF17212B"/>
      <name val="Noto Sans CJK KR"/>
      <family val="3"/>
      <charset val="129"/>
    </font>
    <font>
      <b/>
      <sz val="10"/>
      <color rgb="FF000000"/>
      <name val="Noto Sans CJK KR"/>
      <family val="3"/>
      <charset val="129"/>
    </font>
    <font>
      <sz val="10"/>
      <color rgb="FF008000"/>
      <name val="Noto Sans CJK KR"/>
      <family val="3"/>
      <charset val="129"/>
    </font>
    <font>
      <b/>
      <sz val="10"/>
      <color rgb="FF008000"/>
      <name val="Noto Sans CJK KR"/>
      <family val="3"/>
      <charset val="129"/>
    </font>
    <font>
      <sz val="11"/>
      <color rgb="FF17212B"/>
      <name val="Carlito"/>
    </font>
    <font>
      <sz val="11"/>
      <color rgb="FF253747"/>
      <name val="Noto Sans CJK KR"/>
      <family val="3"/>
      <charset val="129"/>
    </font>
    <font>
      <b/>
      <sz val="20"/>
      <color rgb="FF20374C"/>
      <name val="Noto Sans CJK KR"/>
      <family val="3"/>
      <charset val="129"/>
    </font>
    <font>
      <sz val="10"/>
      <color rgb="FF617381"/>
      <name val="Noto Sans CJK KR"/>
      <family val="3"/>
      <charset val="129"/>
    </font>
    <font>
      <b/>
      <sz val="11"/>
      <color rgb="FFFFFFFF"/>
      <name val="Noto Sans CJK KR"/>
      <family val="3"/>
      <charset val="129"/>
    </font>
    <font>
      <sz val="11"/>
      <color rgb="FF16804A"/>
      <name val="Noto Sans CJK KR"/>
      <family val="3"/>
      <charset val="129"/>
    </font>
    <font>
      <sz val="9"/>
      <color rgb="FF617381"/>
      <name val="Noto Sans CJK KR"/>
      <family val="3"/>
      <charset val="129"/>
    </font>
    <font>
      <sz val="11"/>
      <color rgb="FF185DA6"/>
      <name val="Noto Sans CJK KR"/>
      <family val="3"/>
      <charset val="129"/>
    </font>
    <font>
      <b/>
      <sz val="10"/>
      <color rgb="FF253747"/>
      <name val="Noto Sans CJK KR"/>
      <family val="3"/>
      <charset val="129"/>
    </font>
    <font>
      <sz val="10"/>
      <color rgb="FF465568"/>
      <name val="Noto Sans CJK KR"/>
      <family val="3"/>
      <charset val="129"/>
    </font>
    <font>
      <sz val="10"/>
      <color rgb="FF35465A"/>
      <name val="Noto Sans CJK KR"/>
      <family val="3"/>
      <charset val="129"/>
    </font>
    <font>
      <sz val="11"/>
      <name val="Carlito"/>
    </font>
    <font>
      <sz val="8"/>
      <name val="돋움"/>
      <family val="3"/>
      <charset val="129"/>
    </font>
  </fonts>
  <fills count="13">
    <fill>
      <patternFill patternType="none"/>
    </fill>
    <fill>
      <patternFill patternType="gray125"/>
    </fill>
    <fill>
      <patternFill patternType="solid">
        <fgColor rgb="FFFFF2CC"/>
      </patternFill>
    </fill>
    <fill>
      <patternFill patternType="solid">
        <fgColor rgb="FF20364D"/>
      </patternFill>
    </fill>
    <fill>
      <patternFill patternType="solid">
        <fgColor rgb="FFEAF0F5"/>
      </patternFill>
    </fill>
    <fill>
      <patternFill patternType="solid">
        <fgColor rgb="FF20374C"/>
      </patternFill>
    </fill>
    <fill>
      <patternFill patternType="solid">
        <fgColor rgb="FFE8F5F0"/>
      </patternFill>
    </fill>
    <fill>
      <patternFill patternType="solid">
        <fgColor rgb="FFFFF3CC"/>
      </patternFill>
    </fill>
    <fill>
      <patternFill patternType="solid">
        <fgColor rgb="FFE7EEF3"/>
      </patternFill>
    </fill>
    <fill>
      <patternFill patternType="solid">
        <fgColor rgb="FFF0E6C7"/>
      </patternFill>
    </fill>
    <fill>
      <patternFill patternType="solid">
        <fgColor rgb="FFDDEFEF"/>
      </patternFill>
    </fill>
    <fill>
      <patternFill patternType="solid">
        <fgColor rgb="FFF0F7F7"/>
      </patternFill>
    </fill>
    <fill>
      <patternFill patternType="solid">
        <fgColor rgb="FFF1F4F6"/>
      </patternFill>
    </fill>
  </fills>
  <borders count="2">
    <border>
      <left/>
      <right/>
      <top/>
      <bottom/>
      <diagonal/>
    </border>
    <border>
      <left style="dotted">
        <color rgb="FF667788"/>
      </left>
      <right style="dotted">
        <color rgb="FF667788"/>
      </right>
      <top style="dotted">
        <color rgb="FF667788"/>
      </top>
      <bottom style="dotted">
        <color rgb="FF667788"/>
      </bottom>
      <diagonal/>
    </border>
  </borders>
  <cellStyleXfs count="2">
    <xf numFmtId="0" fontId="0" fillId="0" borderId="0"/>
    <xf numFmtId="0" fontId="23" fillId="0" borderId="0"/>
  </cellStyleXfs>
  <cellXfs count="58">
    <xf numFmtId="0" fontId="0" fillId="0" borderId="0" xfId="0"/>
    <xf numFmtId="0" fontId="1" fillId="0" borderId="0" xfId="1" applyNumberFormat="1" applyFont="1" applyFill="1" applyBorder="1" applyAlignment="1">
      <alignment vertical="center"/>
    </xf>
    <xf numFmtId="0" fontId="2" fillId="0" borderId="0" xfId="1" applyNumberFormat="1" applyFont="1" applyFill="1" applyBorder="1" applyAlignment="1">
      <alignment vertical="center"/>
    </xf>
    <xf numFmtId="0" fontId="4" fillId="0" borderId="0" xfId="1" applyNumberFormat="1" applyFont="1" applyFill="1" applyBorder="1" applyAlignment="1">
      <alignment vertical="center"/>
    </xf>
    <xf numFmtId="0" fontId="5" fillId="0" borderId="0" xfId="1" applyNumberFormat="1" applyFont="1" applyFill="1" applyBorder="1" applyAlignment="1">
      <alignment vertical="center"/>
    </xf>
    <xf numFmtId="176" fontId="3" fillId="2" borderId="0" xfId="1" applyNumberFormat="1" applyFont="1" applyFill="1" applyBorder="1" applyAlignment="1">
      <alignment vertical="center"/>
    </xf>
    <xf numFmtId="0" fontId="1" fillId="0" borderId="0" xfId="1" applyNumberFormat="1" applyFont="1" applyFill="1" applyBorder="1" applyAlignment="1">
      <alignment vertical="center" wrapText="1"/>
    </xf>
    <xf numFmtId="0" fontId="7" fillId="3" borderId="0" xfId="1" applyNumberFormat="1" applyFont="1" applyFill="1" applyBorder="1" applyAlignment="1">
      <alignment horizontal="center" vertical="center"/>
    </xf>
    <xf numFmtId="0" fontId="8" fillId="4" borderId="0" xfId="1" applyNumberFormat="1" applyFont="1" applyFill="1" applyBorder="1" applyAlignment="1">
      <alignment vertical="center"/>
    </xf>
    <xf numFmtId="177" fontId="9" fillId="4" borderId="0" xfId="1" applyNumberFormat="1" applyFont="1" applyFill="1" applyBorder="1" applyAlignment="1">
      <alignment vertical="center"/>
    </xf>
    <xf numFmtId="177" fontId="3" fillId="2" borderId="0" xfId="1" applyNumberFormat="1" applyFont="1" applyFill="1" applyBorder="1" applyAlignment="1">
      <alignment vertical="center"/>
    </xf>
    <xf numFmtId="178" fontId="9" fillId="4" borderId="0" xfId="1" applyNumberFormat="1" applyFont="1" applyFill="1" applyBorder="1" applyAlignment="1">
      <alignment vertical="center"/>
    </xf>
    <xf numFmtId="178" fontId="3" fillId="2" borderId="0" xfId="1" applyNumberFormat="1" applyFont="1" applyFill="1" applyBorder="1" applyAlignment="1">
      <alignment vertical="center"/>
    </xf>
    <xf numFmtId="177" fontId="5" fillId="4" borderId="0" xfId="1" applyNumberFormat="1" applyFont="1" applyFill="1" applyBorder="1" applyAlignment="1">
      <alignment vertical="center"/>
    </xf>
    <xf numFmtId="177" fontId="10" fillId="4" borderId="0" xfId="1" applyNumberFormat="1" applyFont="1" applyFill="1" applyBorder="1" applyAlignment="1">
      <alignment vertical="center"/>
    </xf>
    <xf numFmtId="0" fontId="10" fillId="0" borderId="0" xfId="1" applyNumberFormat="1" applyFont="1" applyFill="1" applyBorder="1" applyAlignment="1">
      <alignment vertical="center"/>
    </xf>
    <xf numFmtId="0" fontId="10" fillId="0" borderId="1" xfId="1" applyNumberFormat="1" applyFont="1" applyFill="1" applyBorder="1" applyAlignment="1">
      <alignment vertical="center"/>
    </xf>
    <xf numFmtId="177" fontId="10" fillId="0" borderId="0" xfId="1" applyNumberFormat="1" applyFont="1" applyFill="1" applyBorder="1" applyAlignment="1">
      <alignment vertical="center"/>
    </xf>
    <xf numFmtId="178" fontId="10" fillId="0" borderId="0" xfId="1" applyNumberFormat="1" applyFont="1" applyFill="1" applyBorder="1" applyAlignment="1">
      <alignment vertical="center"/>
    </xf>
    <xf numFmtId="177" fontId="5" fillId="0" borderId="0" xfId="1" applyNumberFormat="1" applyFont="1" applyFill="1" applyBorder="1" applyAlignment="1">
      <alignment vertical="center"/>
    </xf>
    <xf numFmtId="178" fontId="5" fillId="0" borderId="0" xfId="1" applyNumberFormat="1" applyFont="1" applyFill="1" applyBorder="1" applyAlignment="1">
      <alignment vertical="center"/>
    </xf>
    <xf numFmtId="2" fontId="10" fillId="0" borderId="0" xfId="1" applyNumberFormat="1" applyFont="1" applyFill="1" applyBorder="1" applyAlignment="1">
      <alignment vertical="center"/>
    </xf>
    <xf numFmtId="2" fontId="5" fillId="0" borderId="0" xfId="1" applyNumberFormat="1" applyFont="1" applyFill="1" applyBorder="1" applyAlignment="1">
      <alignment vertical="center"/>
    </xf>
    <xf numFmtId="176" fontId="6" fillId="3" borderId="0" xfId="1" applyNumberFormat="1" applyFont="1" applyFill="1" applyBorder="1" applyAlignment="1">
      <alignment vertical="center"/>
    </xf>
    <xf numFmtId="177" fontId="11" fillId="4" borderId="0" xfId="1" applyNumberFormat="1" applyFont="1" applyFill="1" applyBorder="1" applyAlignment="1">
      <alignment vertical="center"/>
    </xf>
    <xf numFmtId="177" fontId="1" fillId="0" borderId="0" xfId="1" applyNumberFormat="1" applyFont="1" applyFill="1" applyBorder="1" applyAlignment="1">
      <alignment vertical="center"/>
    </xf>
    <xf numFmtId="49" fontId="3" fillId="2" borderId="0" xfId="1" applyNumberFormat="1" applyFont="1" applyFill="1" applyBorder="1" applyAlignment="1">
      <alignment vertical="center" wrapText="1"/>
    </xf>
    <xf numFmtId="4" fontId="1" fillId="0" borderId="0" xfId="1" applyNumberFormat="1" applyFont="1" applyFill="1" applyBorder="1" applyAlignment="1">
      <alignment vertical="center" wrapText="1"/>
    </xf>
    <xf numFmtId="0" fontId="12" fillId="0" borderId="0" xfId="1" applyNumberFormat="1" applyFont="1" applyFill="1" applyBorder="1"/>
    <xf numFmtId="2" fontId="1" fillId="0" borderId="0" xfId="1" applyNumberFormat="1" applyFont="1" applyFill="1" applyBorder="1" applyAlignment="1">
      <alignment vertical="center"/>
    </xf>
    <xf numFmtId="1" fontId="3" fillId="2" borderId="1" xfId="1" applyNumberFormat="1" applyFont="1" applyFill="1" applyBorder="1" applyAlignment="1">
      <alignment horizontal="center" vertical="center"/>
    </xf>
    <xf numFmtId="0" fontId="10" fillId="0" borderId="1" xfId="1" applyNumberFormat="1" applyFont="1" applyFill="1" applyBorder="1" applyAlignment="1">
      <alignment horizontal="center" vertical="center"/>
    </xf>
    <xf numFmtId="0" fontId="13" fillId="0" borderId="0" xfId="1" applyNumberFormat="1" applyFont="1" applyFill="1" applyBorder="1"/>
    <xf numFmtId="1" fontId="3" fillId="2" borderId="0" xfId="1" applyNumberFormat="1" applyFont="1" applyFill="1" applyBorder="1" applyAlignment="1">
      <alignment vertical="center"/>
    </xf>
    <xf numFmtId="181" fontId="3" fillId="2" borderId="0" xfId="1" applyNumberFormat="1" applyFont="1" applyFill="1" applyBorder="1" applyAlignment="1">
      <alignment vertical="center"/>
    </xf>
    <xf numFmtId="0" fontId="1" fillId="0" borderId="0" xfId="1" applyNumberFormat="1" applyFont="1" applyFill="1" applyBorder="1" applyAlignment="1">
      <alignment vertical="center" wrapText="1"/>
    </xf>
    <xf numFmtId="0" fontId="21" fillId="0" borderId="0" xfId="1" applyNumberFormat="1" applyFont="1" applyFill="1" applyBorder="1" applyAlignment="1">
      <alignment vertical="center" wrapText="1"/>
    </xf>
    <xf numFmtId="0" fontId="22" fillId="0" borderId="0" xfId="1" applyNumberFormat="1" applyFont="1" applyFill="1" applyBorder="1" applyAlignment="1">
      <alignment vertical="center" wrapText="1"/>
    </xf>
    <xf numFmtId="0" fontId="7" fillId="3" borderId="0" xfId="1" applyNumberFormat="1" applyFont="1" applyFill="1" applyBorder="1" applyAlignment="1">
      <alignment horizontal="center" vertical="center"/>
    </xf>
    <xf numFmtId="0" fontId="1" fillId="0" borderId="0" xfId="1" applyNumberFormat="1" applyFont="1" applyFill="1" applyBorder="1" applyAlignment="1">
      <alignment vertical="center"/>
    </xf>
    <xf numFmtId="177" fontId="5" fillId="0" borderId="0" xfId="1" applyNumberFormat="1" applyFont="1" applyFill="1" applyBorder="1" applyAlignment="1">
      <alignment vertical="center" wrapText="1"/>
    </xf>
    <xf numFmtId="0" fontId="14" fillId="0" borderId="0" xfId="1" applyNumberFormat="1" applyFont="1" applyFill="1" applyBorder="1" applyAlignment="1">
      <alignment vertical="center" wrapText="1"/>
    </xf>
    <xf numFmtId="0" fontId="15" fillId="0" borderId="0" xfId="1" applyNumberFormat="1" applyFont="1" applyFill="1" applyBorder="1" applyAlignment="1">
      <alignment vertical="center" wrapText="1"/>
    </xf>
    <xf numFmtId="0" fontId="16" fillId="5" borderId="0" xfId="1" applyNumberFormat="1" applyFont="1" applyFill="1" applyBorder="1" applyAlignment="1">
      <alignment vertical="center" wrapText="1"/>
    </xf>
    <xf numFmtId="0" fontId="17" fillId="6" borderId="0" xfId="1" applyNumberFormat="1" applyFont="1" applyFill="1" applyBorder="1" applyAlignment="1">
      <alignment vertical="center" wrapText="1"/>
    </xf>
    <xf numFmtId="0" fontId="18" fillId="0" borderId="0" xfId="1" applyNumberFormat="1" applyFont="1" applyFill="1" applyBorder="1" applyAlignment="1">
      <alignment vertical="center" wrapText="1"/>
    </xf>
    <xf numFmtId="0" fontId="19" fillId="7" borderId="0" xfId="1" applyNumberFormat="1" applyFont="1" applyFill="1" applyBorder="1" applyAlignment="1">
      <alignment vertical="center" wrapText="1"/>
    </xf>
    <xf numFmtId="0" fontId="13" fillId="8" borderId="0" xfId="1" applyNumberFormat="1" applyFont="1" applyFill="1" applyBorder="1" applyAlignment="1">
      <alignment vertical="center" wrapText="1"/>
    </xf>
    <xf numFmtId="0" fontId="13" fillId="0" borderId="0" xfId="1" applyNumberFormat="1" applyFont="1" applyFill="1" applyBorder="1" applyAlignment="1">
      <alignment vertical="center" wrapText="1"/>
    </xf>
    <xf numFmtId="179" fontId="17" fillId="0" borderId="0" xfId="1" applyNumberFormat="1" applyFont="1" applyFill="1" applyBorder="1" applyAlignment="1">
      <alignment horizontal="right" vertical="center" wrapText="1"/>
    </xf>
    <xf numFmtId="179" fontId="17" fillId="6" borderId="0" xfId="1" applyNumberFormat="1" applyFont="1" applyFill="1" applyBorder="1" applyAlignment="1">
      <alignment horizontal="right" vertical="center" wrapText="1"/>
    </xf>
    <xf numFmtId="180" fontId="17" fillId="0" borderId="0" xfId="1" applyNumberFormat="1" applyFont="1" applyFill="1" applyBorder="1" applyAlignment="1">
      <alignment horizontal="right" vertical="center" wrapText="1"/>
    </xf>
    <xf numFmtId="0" fontId="20" fillId="9" borderId="0" xfId="1" applyNumberFormat="1" applyFont="1" applyFill="1" applyBorder="1" applyAlignment="1">
      <alignment vertical="center" wrapText="1"/>
    </xf>
    <xf numFmtId="0" fontId="20" fillId="10" borderId="0" xfId="1" applyNumberFormat="1" applyFont="1" applyFill="1" applyBorder="1" applyAlignment="1">
      <alignment vertical="center" wrapText="1"/>
    </xf>
    <xf numFmtId="0" fontId="19" fillId="7" borderId="0" xfId="1" applyNumberFormat="1" applyFont="1" applyFill="1" applyBorder="1" applyAlignment="1">
      <alignment vertical="top" wrapText="1"/>
    </xf>
    <xf numFmtId="0" fontId="13" fillId="11" borderId="0" xfId="1" applyNumberFormat="1" applyFont="1" applyFill="1" applyBorder="1" applyAlignment="1">
      <alignment vertical="top" wrapText="1"/>
    </xf>
    <xf numFmtId="0" fontId="17" fillId="11" borderId="0" xfId="1" applyNumberFormat="1" applyFont="1" applyFill="1" applyBorder="1" applyAlignment="1">
      <alignment vertical="top" wrapText="1"/>
    </xf>
    <xf numFmtId="0" fontId="13" fillId="12" borderId="0" xfId="1" applyNumberFormat="1" applyFont="1" applyFill="1" applyBorder="1" applyAlignment="1">
      <alignment vertical="center" wrapText="1"/>
    </xf>
  </cellXfs>
  <cellStyles count="2">
    <cellStyle name="Normal" xfId="1"/>
    <cellStyle name="표준" xfId="0" builtinId="0"/>
  </cellStyles>
  <dxfs count="3">
    <dxf>
      <font>
        <b/>
        <color rgb="FFB42318"/>
      </font>
      <fill>
        <patternFill>
          <bgColor rgb="FFFDE9E7"/>
        </patternFill>
      </fill>
    </dxf>
    <dxf>
      <font>
        <b/>
        <color rgb="FFB42318"/>
      </font>
      <fill>
        <patternFill>
          <bgColor rgb="FFFDE9E7"/>
        </patternFill>
      </fill>
    </dxf>
    <dxf>
      <font>
        <color rgb="FFB423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rPr lang="ko-KR" altLang="en-US" sz="975">
                <a:latin typeface="Noto Sans CJK KR"/>
                <a:ea typeface="Noto Sans CJK KR"/>
                <a:cs typeface="Noto Sans CJK KR"/>
              </a:rPr>
              <a:t>순매출과 영업이익</a:t>
            </a:r>
          </a:p>
        </c:rich>
      </c:tx>
      <c:layout/>
      <c:overlay val="0"/>
    </c:title>
    <c:autoTitleDeleted val="0"/>
    <c:plotArea>
      <c:layout/>
      <c:barChart>
        <c:barDir val="col"/>
        <c:grouping val="clustered"/>
        <c:varyColors val="0"/>
        <c:ser>
          <c:idx val="0"/>
          <c:order val="0"/>
          <c:tx>
            <c:v>순매출 백만원</c:v>
          </c:tx>
          <c:invertIfNegative val="1"/>
          <c:cat>
            <c:strRef>
              <c:f>'00_투자판단'!$J$45:$J$47</c:f>
              <c:strCache>
                <c:ptCount val="3"/>
                <c:pt idx="0">
                  <c:v>1년차</c:v>
                </c:pt>
                <c:pt idx="1">
                  <c:v>2년차</c:v>
                </c:pt>
                <c:pt idx="2">
                  <c:v>3년차</c:v>
                </c:pt>
              </c:strCache>
            </c:strRef>
          </c:cat>
          <c:val>
            <c:numRef>
              <c:f>'00_투자판단'!$K$45:$K$47</c:f>
              <c:numCache>
                <c:formatCode>General</c:formatCode>
                <c:ptCount val="3"/>
                <c:pt idx="0">
                  <c:v>5.6121698181818171</c:v>
                </c:pt>
                <c:pt idx="1">
                  <c:v>85.304201575224198</c:v>
                </c:pt>
                <c:pt idx="2">
                  <c:v>184.72419248468327</c:v>
                </c:pt>
              </c:numCache>
            </c:numRef>
          </c:val>
          <c:extLst>
            <c:ext xmlns:c16="http://schemas.microsoft.com/office/drawing/2014/chart" uri="{C3380CC4-5D6E-409C-BE32-E72D297353CC}">
              <c16:uniqueId val="{00000000-76EE-47CE-8A82-A358822300AB}"/>
            </c:ext>
          </c:extLst>
        </c:ser>
        <c:ser>
          <c:idx val="1"/>
          <c:order val="1"/>
          <c:tx>
            <c:v>영업이익 백만원</c:v>
          </c:tx>
          <c:invertIfNegative val="1"/>
          <c:cat>
            <c:strRef>
              <c:f>'00_투자판단'!$J$45:$J$47</c:f>
              <c:strCache>
                <c:ptCount val="3"/>
                <c:pt idx="0">
                  <c:v>1년차</c:v>
                </c:pt>
                <c:pt idx="1">
                  <c:v>2년차</c:v>
                </c:pt>
                <c:pt idx="2">
                  <c:v>3년차</c:v>
                </c:pt>
              </c:strCache>
            </c:strRef>
          </c:cat>
          <c:val>
            <c:numRef>
              <c:f>'00_투자판단'!$L$45:$L$47</c:f>
              <c:numCache>
                <c:formatCode>General</c:formatCode>
                <c:ptCount val="3"/>
                <c:pt idx="0">
                  <c:v>-246.83656200804043</c:v>
                </c:pt>
                <c:pt idx="1">
                  <c:v>-240.98526288043112</c:v>
                </c:pt>
                <c:pt idx="2">
                  <c:v>-245.88898405738803</c:v>
                </c:pt>
              </c:numCache>
            </c:numRef>
          </c:val>
          <c:extLst>
            <c:ext xmlns:c16="http://schemas.microsoft.com/office/drawing/2014/chart" uri="{C3380CC4-5D6E-409C-BE32-E72D297353CC}">
              <c16:uniqueId val="{00000001-76EE-47CE-8A82-A358822300A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Noto Sans CJK KR"/>
                <a:ea typeface="Noto Sans CJK KR"/>
                <a:cs typeface="Noto Sans CJK KR"/>
              </a:defRPr>
            </a:pPr>
            <a:endParaRPr lang="ko-KR"/>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ko-KR" altLang="en-US"/>
                  <a:t>백만원</a:t>
                </a:r>
              </a:p>
            </c:rich>
          </c:tx>
          <c:layout/>
          <c:overlay val="0"/>
        </c:title>
        <c:numFmt formatCode="#,##0" sourceLinked="0"/>
        <c:majorTickMark val="none"/>
        <c:minorTickMark val="none"/>
        <c:tickLblPos val="nextTo"/>
        <c:txPr>
          <a:bodyPr anchorCtr="1"/>
          <a:lstStyle/>
          <a:p>
            <a:pPr>
              <a:defRPr sz="750">
                <a:latin typeface="Noto Sans CJK KR"/>
                <a:ea typeface="Noto Sans CJK KR"/>
                <a:cs typeface="Noto Sans CJK KR"/>
              </a:defRPr>
            </a:pPr>
            <a:endParaRPr lang="ko-KR"/>
          </a:p>
        </c:txPr>
        <c:crossAx val="48650112"/>
        <c:crosses val="autoZero"/>
        <c:crossBetween val="between"/>
      </c:valAx>
    </c:plotArea>
    <c:legend>
      <c:legendPos val="b"/>
      <c:layout/>
      <c:overlay val="0"/>
      <c:txPr>
        <a:bodyPr anchorCtr="1"/>
        <a:lstStyle/>
        <a:p>
          <a:pPr>
            <a:defRPr>
              <a:latin typeface="Noto Sans CJK KR"/>
              <a:ea typeface="Noto Sans CJK KR"/>
              <a:cs typeface="Noto Sans CJK KR"/>
            </a:defRPr>
          </a:pPr>
          <a:endParaRPr lang="ko-KR"/>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7</xdr:row>
      <xdr:rowOff>0</xdr:rowOff>
    </xdr:from>
    <xdr:to>
      <xdr:col>17</xdr:col>
      <xdr:colOff>0</xdr:colOff>
      <xdr:row>26</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0364D"/>
  </sheetPr>
  <dimension ref="A1:AS54"/>
  <sheetViews>
    <sheetView showGridLines="0" topLeftCell="A5" workbookViewId="0">
      <selection activeCell="F12" sqref="F12"/>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16" width="14" customWidth="1"/>
  </cols>
  <sheetData>
    <row r="1" spans="1:16" ht="22.95" customHeight="1">
      <c r="A1" s="1"/>
      <c r="B1" s="1"/>
      <c r="C1" s="1"/>
      <c r="D1" s="1"/>
      <c r="E1" s="1"/>
      <c r="F1" s="1"/>
      <c r="G1" s="1"/>
      <c r="H1" s="1"/>
      <c r="I1" s="1"/>
      <c r="J1" s="1"/>
      <c r="K1" s="1"/>
      <c r="L1" s="1"/>
      <c r="M1" s="1"/>
      <c r="N1" s="1"/>
      <c r="O1" s="1"/>
      <c r="P1" s="1"/>
    </row>
    <row r="2" spans="1:16" ht="34.950000000000003" customHeight="1">
      <c r="A2" s="1"/>
      <c r="B2" s="1"/>
      <c r="C2" s="2" t="s">
        <v>0</v>
      </c>
      <c r="D2" s="1"/>
      <c r="E2" s="1"/>
      <c r="F2" s="1"/>
      <c r="G2" s="1"/>
      <c r="H2" s="1"/>
      <c r="I2" s="1"/>
      <c r="J2" s="1"/>
      <c r="K2" s="1"/>
      <c r="L2" s="1"/>
      <c r="M2" s="1"/>
      <c r="N2" s="1"/>
      <c r="O2" s="1"/>
      <c r="P2" s="1"/>
    </row>
    <row r="3" spans="1:16" ht="22.95" customHeight="1">
      <c r="A3" s="1"/>
      <c r="B3" s="1"/>
      <c r="C3" s="1"/>
      <c r="D3" s="1"/>
      <c r="E3" s="1"/>
      <c r="F3" s="1"/>
      <c r="G3" s="1"/>
      <c r="H3" s="1"/>
      <c r="I3" s="1"/>
      <c r="J3" s="1"/>
      <c r="K3" s="1"/>
      <c r="L3" s="1"/>
      <c r="M3" s="1"/>
      <c r="N3" s="1"/>
      <c r="O3" s="1"/>
      <c r="P3" s="1"/>
    </row>
    <row r="4" spans="1:16" ht="22.95" customHeight="1">
      <c r="A4" s="1"/>
      <c r="B4" s="1"/>
      <c r="C4" s="1" t="s">
        <v>1</v>
      </c>
      <c r="D4" s="1"/>
      <c r="E4" s="1"/>
      <c r="F4" s="16" t="str">
        <f>'01_가정'!H4</f>
        <v>보수</v>
      </c>
      <c r="G4" s="1"/>
      <c r="H4" s="1"/>
      <c r="I4" s="1"/>
      <c r="J4" s="1"/>
      <c r="K4" s="1"/>
      <c r="L4" s="1"/>
      <c r="M4" s="1"/>
      <c r="N4" s="1"/>
      <c r="O4" s="1"/>
      <c r="P4" s="1"/>
    </row>
    <row r="5" spans="1:16" ht="36" customHeight="1">
      <c r="A5" s="1"/>
      <c r="B5" s="1"/>
      <c r="C5" s="35" t="s">
        <v>2</v>
      </c>
      <c r="D5" s="35"/>
      <c r="E5" s="35"/>
      <c r="F5" s="35"/>
      <c r="G5" s="35"/>
      <c r="H5" s="35"/>
      <c r="I5" s="35"/>
      <c r="J5" s="35"/>
      <c r="K5" s="35"/>
      <c r="L5" s="35"/>
      <c r="M5" s="35"/>
      <c r="N5" s="35"/>
      <c r="O5" s="35"/>
      <c r="P5" s="35"/>
    </row>
    <row r="6" spans="1:16" ht="22.95" customHeight="1">
      <c r="A6" s="1"/>
      <c r="B6" s="1"/>
      <c r="C6" s="1"/>
      <c r="D6" s="1"/>
      <c r="E6" s="1"/>
      <c r="F6" s="1"/>
      <c r="G6" s="1"/>
      <c r="H6" s="1"/>
      <c r="I6" s="1"/>
      <c r="J6" s="1"/>
      <c r="K6" s="1"/>
      <c r="L6" s="1"/>
      <c r="M6" s="1"/>
      <c r="N6" s="1"/>
      <c r="O6" s="1"/>
      <c r="P6" s="1"/>
    </row>
    <row r="7" spans="1:16" ht="22.95" customHeight="1">
      <c r="A7" s="1"/>
      <c r="B7" s="1"/>
      <c r="C7" s="1"/>
      <c r="D7" s="1"/>
      <c r="E7" s="1"/>
      <c r="F7" s="1"/>
      <c r="G7" s="1"/>
      <c r="H7" s="1"/>
      <c r="I7" s="1"/>
      <c r="J7" s="1"/>
      <c r="K7" s="1"/>
      <c r="L7" s="1"/>
      <c r="M7" s="1"/>
      <c r="N7" s="1"/>
      <c r="O7" s="1"/>
      <c r="P7" s="1"/>
    </row>
    <row r="8" spans="1:16" ht="30" customHeight="1">
      <c r="A8" s="1"/>
      <c r="B8" s="1"/>
      <c r="C8" s="7" t="s">
        <v>3</v>
      </c>
      <c r="D8" s="7" t="s">
        <v>4</v>
      </c>
      <c r="E8" s="7"/>
      <c r="F8" s="7" t="s">
        <v>5</v>
      </c>
      <c r="G8" s="7" t="s">
        <v>6</v>
      </c>
      <c r="H8" s="7" t="s">
        <v>7</v>
      </c>
      <c r="I8" s="1"/>
      <c r="J8" s="1"/>
      <c r="K8" s="1"/>
      <c r="L8" s="1"/>
      <c r="M8" s="1"/>
      <c r="N8" s="1"/>
      <c r="O8" s="1"/>
      <c r="P8" s="1"/>
    </row>
    <row r="9" spans="1:16" ht="22.95" customHeight="1">
      <c r="A9" s="1"/>
      <c r="B9" s="1"/>
      <c r="C9" s="1" t="s">
        <v>8</v>
      </c>
      <c r="D9" s="1" t="s">
        <v>9</v>
      </c>
      <c r="E9" s="1"/>
      <c r="F9" s="25">
        <f>'03_월별손익'!F19</f>
        <v>56</v>
      </c>
      <c r="G9" s="25">
        <f>'03_월별손익'!G19</f>
        <v>804</v>
      </c>
      <c r="H9" s="25">
        <f>'03_월별손익'!H19</f>
        <v>1680</v>
      </c>
      <c r="I9" s="1"/>
      <c r="J9" s="1"/>
      <c r="K9" s="1"/>
      <c r="L9" s="1"/>
      <c r="M9" s="1"/>
      <c r="N9" s="1"/>
      <c r="O9" s="1"/>
      <c r="P9" s="1"/>
    </row>
    <row r="10" spans="1:16" ht="22.95" customHeight="1">
      <c r="A10" s="1"/>
      <c r="B10" s="1"/>
      <c r="C10" s="1" t="s">
        <v>10</v>
      </c>
      <c r="D10" s="1" t="s">
        <v>11</v>
      </c>
      <c r="E10" s="1"/>
      <c r="F10" s="25">
        <f>'03_월별손익'!F33</f>
        <v>5612169.8181818174</v>
      </c>
      <c r="G10" s="25">
        <f>'03_월별손익'!G33</f>
        <v>85304201.575224191</v>
      </c>
      <c r="H10" s="25">
        <f>'03_월별손익'!H33</f>
        <v>184724192.48468328</v>
      </c>
      <c r="I10" s="1"/>
      <c r="J10" s="1"/>
      <c r="K10" s="1"/>
      <c r="L10" s="1"/>
      <c r="M10" s="1"/>
      <c r="N10" s="1"/>
      <c r="O10" s="1"/>
      <c r="P10" s="1"/>
    </row>
    <row r="11" spans="1:16" ht="22.95" customHeight="1">
      <c r="A11" s="1"/>
      <c r="B11" s="1"/>
      <c r="C11" s="1" t="s">
        <v>12</v>
      </c>
      <c r="D11" s="1" t="s">
        <v>11</v>
      </c>
      <c r="E11" s="1"/>
      <c r="F11" s="25">
        <f>'03_월별손익'!F32</f>
        <v>29988</v>
      </c>
      <c r="G11" s="25">
        <f>'03_월별손익'!G32</f>
        <v>2331401.5752242031</v>
      </c>
      <c r="H11" s="25">
        <f>'03_월별손익'!H32</f>
        <v>7407828.8483196441</v>
      </c>
      <c r="I11" s="1"/>
      <c r="J11" s="1"/>
      <c r="K11" s="1"/>
      <c r="L11" s="1"/>
      <c r="M11" s="1"/>
      <c r="N11" s="1"/>
      <c r="O11" s="1"/>
      <c r="P11" s="1"/>
    </row>
    <row r="12" spans="1:16" ht="22.95" customHeight="1">
      <c r="A12" s="1"/>
      <c r="B12" s="1"/>
      <c r="C12" s="1" t="s">
        <v>13</v>
      </c>
      <c r="D12" s="1" t="s">
        <v>11</v>
      </c>
      <c r="E12" s="1"/>
      <c r="F12" s="25">
        <f>'03_월별손익'!F48</f>
        <v>-2364339.7858181829</v>
      </c>
      <c r="G12" s="25">
        <f>'03_월별손익'!G48</f>
        <v>-15451929.547097798</v>
      </c>
      <c r="H12" s="25">
        <f>'03_월별손익'!H48</f>
        <v>-3555650.7240547137</v>
      </c>
      <c r="I12" s="1"/>
      <c r="J12" s="1"/>
      <c r="K12" s="1"/>
      <c r="L12" s="1"/>
      <c r="M12" s="1"/>
      <c r="N12" s="1"/>
      <c r="O12" s="1"/>
      <c r="P12" s="1"/>
    </row>
    <row r="13" spans="1:16" ht="22.95" customHeight="1">
      <c r="A13" s="1"/>
      <c r="B13" s="1"/>
      <c r="C13" s="1" t="s">
        <v>14</v>
      </c>
      <c r="D13" s="1" t="s">
        <v>11</v>
      </c>
      <c r="E13" s="1"/>
      <c r="F13" s="25">
        <f>'03_월별손익'!F49</f>
        <v>162000000</v>
      </c>
      <c r="G13" s="25">
        <f>'03_월별손익'!G49</f>
        <v>169200000</v>
      </c>
      <c r="H13" s="25">
        <f>'03_월별손익'!H49</f>
        <v>180000000</v>
      </c>
      <c r="I13" s="1"/>
      <c r="J13" s="1"/>
      <c r="K13" s="1"/>
      <c r="L13" s="1"/>
      <c r="M13" s="1"/>
      <c r="N13" s="1"/>
      <c r="O13" s="1"/>
      <c r="P13" s="1"/>
    </row>
    <row r="14" spans="1:16" ht="22.95" customHeight="1">
      <c r="A14" s="1"/>
      <c r="B14" s="1"/>
      <c r="C14" s="1" t="s">
        <v>15</v>
      </c>
      <c r="D14" s="1" t="s">
        <v>11</v>
      </c>
      <c r="E14" s="1"/>
      <c r="F14" s="25">
        <f>'03_월별손익'!F52</f>
        <v>-243364339.78581819</v>
      </c>
      <c r="G14" s="25">
        <f>'03_월별손익'!G52</f>
        <v>-232651929.54709783</v>
      </c>
      <c r="H14" s="25">
        <f>'03_월별손익'!H52</f>
        <v>-237555650.72405469</v>
      </c>
      <c r="I14" s="1"/>
      <c r="J14" s="1"/>
      <c r="K14" s="1"/>
      <c r="L14" s="1"/>
      <c r="M14" s="1"/>
      <c r="N14" s="1"/>
      <c r="O14" s="1"/>
      <c r="P14" s="1"/>
    </row>
    <row r="15" spans="1:16" ht="22.95" customHeight="1">
      <c r="A15" s="1"/>
      <c r="B15" s="1"/>
      <c r="C15" s="1" t="s">
        <v>16</v>
      </c>
      <c r="D15" s="1" t="s">
        <v>11</v>
      </c>
      <c r="E15" s="1"/>
      <c r="F15" s="25">
        <f>'03_월별손익'!F54</f>
        <v>-246836562.00804043</v>
      </c>
      <c r="G15" s="25">
        <f>'03_월별손익'!G54</f>
        <v>-240985262.88043112</v>
      </c>
      <c r="H15" s="25">
        <f>'03_월별손익'!H54</f>
        <v>-245888984.05738804</v>
      </c>
      <c r="I15" s="1"/>
      <c r="J15" s="1"/>
      <c r="K15" s="1"/>
      <c r="L15" s="1"/>
      <c r="M15" s="1"/>
      <c r="N15" s="1"/>
      <c r="O15" s="1"/>
      <c r="P15" s="1"/>
    </row>
    <row r="16" spans="1:16" ht="22.95" customHeight="1">
      <c r="A16" s="1"/>
      <c r="B16" s="1"/>
      <c r="C16" s="1" t="s">
        <v>17</v>
      </c>
      <c r="D16" s="1" t="s">
        <v>11</v>
      </c>
      <c r="E16" s="1"/>
      <c r="F16" s="25">
        <f>'04_재고현금'!F43</f>
        <v>-8513773.7644000035</v>
      </c>
      <c r="G16" s="25">
        <f>'04_재고현금'!G43</f>
        <v>-252327934.16527164</v>
      </c>
      <c r="H16" s="25">
        <f>'04_재고현금'!H43</f>
        <v>-471883628.25423914</v>
      </c>
      <c r="I16" s="1"/>
      <c r="J16" s="1"/>
      <c r="K16" s="1"/>
      <c r="L16" s="1"/>
      <c r="M16" s="1"/>
      <c r="N16" s="1"/>
      <c r="O16" s="1"/>
      <c r="P16" s="1"/>
    </row>
    <row r="17" spans="1:16" ht="22.95" customHeight="1">
      <c r="A17" s="1"/>
      <c r="B17" s="1"/>
      <c r="C17" s="1" t="s">
        <v>18</v>
      </c>
      <c r="D17" s="1" t="s">
        <v>11</v>
      </c>
      <c r="E17" s="1"/>
      <c r="F17" s="25">
        <f>'04_재고현금'!F44</f>
        <v>38513773.764400005</v>
      </c>
      <c r="G17" s="25">
        <f>'04_재고현금'!G44</f>
        <v>282327934.16527164</v>
      </c>
      <c r="H17" s="25">
        <f>'04_재고현금'!H44</f>
        <v>501883628.25423914</v>
      </c>
      <c r="I17" s="1"/>
      <c r="J17" s="1"/>
      <c r="K17" s="1"/>
      <c r="L17" s="1"/>
      <c r="M17" s="1"/>
      <c r="N17" s="1"/>
      <c r="O17" s="1"/>
      <c r="P17" s="1"/>
    </row>
    <row r="18" spans="1:16" ht="22.95" customHeight="1">
      <c r="A18" s="1"/>
      <c r="B18" s="1"/>
      <c r="C18" s="1"/>
      <c r="D18" s="1"/>
      <c r="E18" s="1"/>
      <c r="F18" s="1"/>
      <c r="G18" s="1"/>
      <c r="H18" s="1"/>
      <c r="I18" s="1"/>
      <c r="J18" s="1"/>
      <c r="K18" s="1"/>
      <c r="L18" s="1"/>
      <c r="M18" s="1"/>
      <c r="N18" s="1"/>
      <c r="O18" s="1"/>
      <c r="P18" s="1"/>
    </row>
    <row r="19" spans="1:16" ht="22.95" customHeight="1">
      <c r="A19" s="1"/>
      <c r="B19" s="1"/>
      <c r="C19" s="1"/>
      <c r="D19" s="1"/>
      <c r="E19" s="1"/>
      <c r="F19" s="1"/>
      <c r="G19" s="1"/>
      <c r="H19" s="1"/>
      <c r="I19" s="1"/>
      <c r="J19" s="1"/>
      <c r="K19" s="1"/>
      <c r="L19" s="1"/>
      <c r="M19" s="1"/>
      <c r="N19" s="1"/>
      <c r="O19" s="1"/>
      <c r="P19" s="1"/>
    </row>
    <row r="20" spans="1:16" ht="22.95" customHeight="1">
      <c r="A20" s="1"/>
      <c r="B20" s="1"/>
      <c r="C20" s="1" t="s">
        <v>19</v>
      </c>
      <c r="D20" s="1" t="s">
        <v>11</v>
      </c>
      <c r="E20" s="1"/>
      <c r="F20" s="25">
        <f>'02_단위경제'!F19</f>
        <v>80000</v>
      </c>
      <c r="G20" s="1"/>
      <c r="H20" s="1"/>
      <c r="I20" s="1"/>
      <c r="J20" s="1"/>
      <c r="K20" s="1"/>
      <c r="L20" s="1"/>
      <c r="M20" s="1"/>
      <c r="N20" s="1"/>
      <c r="O20" s="1"/>
      <c r="P20" s="1"/>
    </row>
    <row r="21" spans="1:16" ht="22.95" customHeight="1">
      <c r="A21" s="1"/>
      <c r="B21" s="1"/>
      <c r="C21" s="1" t="s">
        <v>20</v>
      </c>
      <c r="D21" s="1" t="s">
        <v>11</v>
      </c>
      <c r="E21" s="1"/>
      <c r="F21" s="25">
        <f>'02_단위경제'!F20</f>
        <v>-62007.681818181823</v>
      </c>
      <c r="G21" s="1"/>
      <c r="H21" s="1"/>
      <c r="I21" s="1"/>
      <c r="J21" s="1"/>
      <c r="K21" s="1"/>
      <c r="L21" s="1"/>
      <c r="M21" s="1"/>
      <c r="N21" s="1"/>
      <c r="O21" s="1"/>
      <c r="P21" s="1"/>
    </row>
    <row r="22" spans="1:16" ht="22.95" customHeight="1">
      <c r="A22" s="1"/>
      <c r="B22" s="1"/>
      <c r="C22" s="1" t="s">
        <v>21</v>
      </c>
      <c r="D22" s="1" t="s">
        <v>11</v>
      </c>
      <c r="E22" s="1"/>
      <c r="F22" s="25">
        <f>'02_단위경제'!F23</f>
        <v>-2007.6818181818235</v>
      </c>
      <c r="G22" s="1"/>
      <c r="H22" s="1"/>
      <c r="I22" s="1"/>
      <c r="J22" s="1"/>
      <c r="K22" s="1"/>
      <c r="L22" s="1"/>
      <c r="M22" s="1"/>
      <c r="N22" s="1"/>
      <c r="O22" s="1"/>
      <c r="P22" s="1"/>
    </row>
    <row r="23" spans="1:16" ht="22.95" customHeight="1">
      <c r="A23" s="1"/>
      <c r="B23" s="1"/>
      <c r="C23" s="1" t="s">
        <v>22</v>
      </c>
      <c r="D23" s="1" t="s">
        <v>11</v>
      </c>
      <c r="E23" s="1"/>
      <c r="F23" s="25">
        <f>MAX('04_재고현금'!J44:AS44)</f>
        <v>501883628.25423914</v>
      </c>
      <c r="G23" s="1"/>
      <c r="H23" s="1"/>
      <c r="I23" s="1"/>
      <c r="J23" s="1"/>
      <c r="K23" s="1"/>
      <c r="L23" s="1"/>
      <c r="M23" s="1"/>
      <c r="N23" s="1"/>
      <c r="O23" s="1"/>
      <c r="P23" s="1"/>
    </row>
    <row r="24" spans="1:16" ht="22.95" customHeight="1">
      <c r="A24" s="1"/>
      <c r="B24" s="1"/>
      <c r="C24" s="1" t="s">
        <v>23</v>
      </c>
      <c r="D24" s="1" t="s">
        <v>11</v>
      </c>
      <c r="E24" s="1"/>
      <c r="F24" s="25">
        <f>MIN('04_재고현금'!J43:AS43)</f>
        <v>-471883628.25423914</v>
      </c>
      <c r="G24" s="1"/>
      <c r="H24" s="1"/>
      <c r="I24" s="1"/>
      <c r="J24" s="1"/>
      <c r="K24" s="1"/>
      <c r="L24" s="1"/>
      <c r="M24" s="1"/>
      <c r="N24" s="1"/>
      <c r="O24" s="1"/>
      <c r="P24" s="1"/>
    </row>
    <row r="25" spans="1:16" ht="22.95" customHeight="1">
      <c r="A25" s="1"/>
      <c r="B25" s="1"/>
      <c r="C25" s="1" t="s">
        <v>24</v>
      </c>
      <c r="D25" s="1" t="s">
        <v>25</v>
      </c>
      <c r="E25" s="1"/>
      <c r="F25" s="1">
        <f>IF(MIN('04_재고현금'!J43:AS43)&gt;=0,"없음",MATCH(1,J52:AS52,0))</f>
        <v>12</v>
      </c>
      <c r="G25" s="1"/>
      <c r="H25" s="1"/>
      <c r="I25" s="1"/>
      <c r="J25" s="1"/>
      <c r="K25" s="1"/>
      <c r="L25" s="1"/>
      <c r="M25" s="1"/>
      <c r="N25" s="1"/>
      <c r="O25" s="1"/>
      <c r="P25" s="1"/>
    </row>
    <row r="26" spans="1:16" ht="22.95" customHeight="1">
      <c r="A26" s="1"/>
      <c r="B26" s="1"/>
      <c r="C26" s="1"/>
      <c r="D26" s="1"/>
      <c r="E26" s="1"/>
      <c r="F26" s="1"/>
      <c r="G26" s="1"/>
      <c r="H26" s="1"/>
      <c r="I26" s="1"/>
      <c r="J26" s="1"/>
      <c r="K26" s="1"/>
      <c r="L26" s="1"/>
      <c r="M26" s="1"/>
      <c r="N26" s="1"/>
      <c r="O26" s="1"/>
      <c r="P26" s="1"/>
    </row>
    <row r="27" spans="1:16" ht="22.95" customHeight="1">
      <c r="A27" s="1"/>
      <c r="B27" s="1"/>
      <c r="C27" s="1"/>
      <c r="D27" s="1"/>
      <c r="E27" s="1"/>
      <c r="F27" s="1"/>
      <c r="G27" s="1"/>
      <c r="H27" s="1"/>
      <c r="I27" s="1"/>
      <c r="J27" s="1"/>
      <c r="K27" s="1"/>
      <c r="L27" s="1"/>
      <c r="M27" s="1"/>
      <c r="N27" s="1"/>
      <c r="O27" s="1"/>
      <c r="P27" s="1"/>
    </row>
    <row r="28" spans="1:16" ht="36" customHeight="1">
      <c r="A28" s="1"/>
      <c r="B28" s="1"/>
      <c r="C28" s="35" t="s">
        <v>26</v>
      </c>
      <c r="D28" s="35"/>
      <c r="E28" s="35"/>
      <c r="F28" s="35"/>
      <c r="G28" s="35"/>
      <c r="H28" s="35"/>
      <c r="I28" s="35"/>
      <c r="J28" s="35"/>
      <c r="K28" s="35"/>
      <c r="L28" s="35"/>
      <c r="M28" s="35"/>
      <c r="N28" s="35"/>
      <c r="O28" s="35"/>
      <c r="P28" s="35"/>
    </row>
    <row r="29" spans="1:16" ht="22.95" customHeight="1">
      <c r="A29" s="1"/>
      <c r="B29" s="1"/>
      <c r="C29" s="1"/>
      <c r="D29" s="1"/>
      <c r="E29" s="1"/>
      <c r="F29" s="1"/>
      <c r="G29" s="1"/>
      <c r="H29" s="1"/>
      <c r="I29" s="1"/>
      <c r="J29" s="1"/>
      <c r="K29" s="1"/>
      <c r="L29" s="1"/>
      <c r="M29" s="1"/>
      <c r="N29" s="1"/>
      <c r="O29" s="1"/>
      <c r="P29" s="1"/>
    </row>
    <row r="30" spans="1:16" ht="22.95" customHeight="1">
      <c r="A30" s="1"/>
      <c r="B30" s="1"/>
      <c r="C30" s="1"/>
      <c r="D30" s="1"/>
      <c r="E30" s="1"/>
      <c r="F30" s="1"/>
      <c r="G30" s="1"/>
      <c r="H30" s="1"/>
      <c r="I30" s="1"/>
      <c r="J30" s="1"/>
      <c r="K30" s="1"/>
      <c r="L30" s="1"/>
      <c r="M30" s="1"/>
      <c r="N30" s="1"/>
      <c r="O30" s="1"/>
      <c r="P30" s="1"/>
    </row>
    <row r="31" spans="1:16" ht="22.95" customHeight="1">
      <c r="A31" s="1"/>
      <c r="B31" s="1"/>
      <c r="C31" s="8" t="s">
        <v>27</v>
      </c>
      <c r="D31" s="8"/>
      <c r="E31" s="8"/>
      <c r="F31" s="8"/>
      <c r="G31" s="8"/>
      <c r="H31" s="8"/>
      <c r="I31" s="8"/>
      <c r="J31" s="8"/>
      <c r="K31" s="8"/>
      <c r="L31" s="8"/>
      <c r="M31" s="8"/>
      <c r="N31" s="8"/>
      <c r="O31" s="8"/>
      <c r="P31" s="8"/>
    </row>
    <row r="32" spans="1:16" ht="22.95" customHeight="1">
      <c r="A32" s="1"/>
      <c r="B32" s="1"/>
      <c r="C32" s="1"/>
      <c r="D32" s="1"/>
      <c r="E32" s="1"/>
      <c r="F32" s="1"/>
      <c r="G32" s="1"/>
      <c r="H32" s="1"/>
      <c r="I32" s="1"/>
      <c r="J32" s="1"/>
      <c r="K32" s="1"/>
      <c r="L32" s="1"/>
      <c r="M32" s="1"/>
      <c r="N32" s="1"/>
      <c r="O32" s="1"/>
      <c r="P32" s="1"/>
    </row>
    <row r="33" spans="1:45" ht="36" customHeight="1">
      <c r="A33" s="1"/>
      <c r="B33" s="1"/>
      <c r="C33" s="35" t="s">
        <v>28</v>
      </c>
      <c r="D33" s="35"/>
      <c r="E33" s="35"/>
      <c r="F33" s="35"/>
      <c r="G33" s="35"/>
      <c r="H33" s="35"/>
      <c r="I33" s="35"/>
      <c r="J33" s="35"/>
      <c r="K33" s="35"/>
      <c r="L33" s="35"/>
      <c r="M33" s="35"/>
      <c r="N33" s="35"/>
      <c r="O33" s="35"/>
      <c r="P33" s="35"/>
    </row>
    <row r="34" spans="1:45" ht="22.95" customHeight="1">
      <c r="A34" s="1"/>
      <c r="B34" s="1"/>
      <c r="C34" s="1"/>
      <c r="D34" s="1"/>
      <c r="E34" s="1"/>
      <c r="F34" s="1"/>
      <c r="G34" s="1"/>
      <c r="H34" s="1"/>
      <c r="I34" s="1"/>
      <c r="J34" s="1"/>
      <c r="K34" s="1"/>
      <c r="L34" s="1"/>
      <c r="M34" s="1"/>
      <c r="N34" s="1"/>
      <c r="O34" s="1"/>
      <c r="P34" s="1"/>
    </row>
    <row r="35" spans="1:45" ht="36" customHeight="1">
      <c r="A35" s="1"/>
      <c r="B35" s="1"/>
      <c r="C35" s="35" t="s">
        <v>29</v>
      </c>
      <c r="D35" s="35"/>
      <c r="E35" s="35"/>
      <c r="F35" s="35"/>
      <c r="G35" s="35"/>
      <c r="H35" s="35"/>
      <c r="I35" s="35"/>
      <c r="J35" s="35"/>
      <c r="K35" s="35"/>
      <c r="L35" s="35"/>
      <c r="M35" s="35"/>
      <c r="N35" s="35"/>
      <c r="O35" s="35"/>
      <c r="P35" s="35"/>
    </row>
    <row r="36" spans="1:45" ht="22.95" customHeight="1">
      <c r="A36" s="1"/>
      <c r="B36" s="1"/>
      <c r="C36" s="1"/>
      <c r="D36" s="1"/>
      <c r="E36" s="1"/>
      <c r="F36" s="1"/>
      <c r="G36" s="1"/>
      <c r="H36" s="1"/>
      <c r="I36" s="1"/>
      <c r="J36" s="1"/>
      <c r="K36" s="1"/>
      <c r="L36" s="1"/>
      <c r="M36" s="1"/>
      <c r="N36" s="1"/>
      <c r="O36" s="1"/>
      <c r="P36" s="1"/>
    </row>
    <row r="37" spans="1:45" ht="36" customHeight="1">
      <c r="A37" s="1"/>
      <c r="B37" s="1"/>
      <c r="C37" s="35" t="s">
        <v>30</v>
      </c>
      <c r="D37" s="35"/>
      <c r="E37" s="35"/>
      <c r="F37" s="35"/>
      <c r="G37" s="35"/>
      <c r="H37" s="35"/>
      <c r="I37" s="35"/>
      <c r="J37" s="35"/>
      <c r="K37" s="35"/>
      <c r="L37" s="35"/>
      <c r="M37" s="35"/>
      <c r="N37" s="35"/>
      <c r="O37" s="35"/>
      <c r="P37" s="35"/>
    </row>
    <row r="38" spans="1:45" ht="22.95" customHeight="1">
      <c r="A38" s="1"/>
      <c r="B38" s="1"/>
      <c r="C38" s="1"/>
      <c r="D38" s="1"/>
      <c r="E38" s="1"/>
      <c r="F38" s="1"/>
      <c r="G38" s="1"/>
      <c r="H38" s="1"/>
      <c r="I38" s="1"/>
      <c r="J38" s="1"/>
      <c r="K38" s="1"/>
      <c r="L38" s="1"/>
      <c r="M38" s="1"/>
      <c r="N38" s="1"/>
      <c r="O38" s="1"/>
      <c r="P38" s="1"/>
    </row>
    <row r="39" spans="1:45" ht="22.95" customHeight="1">
      <c r="A39" s="1"/>
      <c r="B39" s="1"/>
      <c r="C39" s="1"/>
      <c r="D39" s="1"/>
      <c r="E39" s="1"/>
      <c r="F39" s="1"/>
      <c r="G39" s="1"/>
      <c r="H39" s="1"/>
      <c r="I39" s="1"/>
      <c r="J39" s="1"/>
      <c r="K39" s="1"/>
      <c r="L39" s="1"/>
      <c r="M39" s="1"/>
      <c r="N39" s="1"/>
      <c r="O39" s="1"/>
      <c r="P39" s="1"/>
    </row>
    <row r="40" spans="1:45" ht="36" customHeight="1">
      <c r="A40" s="1"/>
      <c r="B40" s="1"/>
      <c r="C40" s="35" t="s">
        <v>31</v>
      </c>
      <c r="D40" s="35"/>
      <c r="E40" s="35"/>
      <c r="F40" s="35"/>
      <c r="G40" s="35"/>
      <c r="H40" s="35"/>
      <c r="I40" s="35"/>
      <c r="J40" s="35"/>
      <c r="K40" s="35"/>
      <c r="L40" s="35"/>
      <c r="M40" s="35"/>
      <c r="N40" s="35"/>
      <c r="O40" s="35"/>
      <c r="P40" s="35"/>
    </row>
    <row r="41" spans="1:45" ht="22.95" customHeight="1">
      <c r="A41" s="1"/>
      <c r="B41" s="1"/>
      <c r="C41" s="1"/>
      <c r="D41" s="1"/>
      <c r="E41" s="1"/>
      <c r="F41" s="1"/>
      <c r="G41" s="1"/>
      <c r="H41" s="1"/>
      <c r="I41" s="1"/>
      <c r="J41" s="1"/>
      <c r="K41" s="1"/>
      <c r="L41" s="1"/>
      <c r="M41" s="1"/>
      <c r="N41" s="1"/>
      <c r="O41" s="1"/>
      <c r="P41" s="1"/>
    </row>
    <row r="42" spans="1:45" ht="22.95" customHeight="1">
      <c r="A42" s="1"/>
      <c r="B42" s="1"/>
      <c r="C42" s="1"/>
      <c r="D42" s="1"/>
      <c r="E42" s="1"/>
      <c r="F42" s="1"/>
      <c r="G42" s="1"/>
      <c r="H42" s="1"/>
      <c r="I42" s="1"/>
      <c r="J42" s="1"/>
      <c r="K42" s="1"/>
      <c r="L42" s="1"/>
      <c r="M42" s="1"/>
      <c r="N42" s="1"/>
      <c r="O42" s="1"/>
      <c r="P42" s="1"/>
    </row>
    <row r="43" spans="1:45" ht="22.95" customHeight="1">
      <c r="A43" s="1"/>
      <c r="B43" s="1"/>
      <c r="C43" s="1"/>
      <c r="D43" s="1"/>
      <c r="E43" s="1"/>
      <c r="F43" s="1"/>
      <c r="G43" s="1"/>
      <c r="H43" s="1"/>
      <c r="I43" s="1"/>
      <c r="J43" s="1"/>
      <c r="K43" s="1"/>
      <c r="L43" s="1"/>
      <c r="M43" s="1"/>
      <c r="N43" s="1"/>
      <c r="O43" s="1"/>
      <c r="P43" s="1"/>
    </row>
    <row r="44" spans="1:45" ht="30" customHeight="1">
      <c r="A44" s="1"/>
      <c r="B44" s="1"/>
      <c r="C44" s="1"/>
      <c r="D44" s="1"/>
      <c r="E44" s="1"/>
      <c r="F44" s="1"/>
      <c r="G44" s="1"/>
      <c r="H44" s="1"/>
      <c r="I44" s="1"/>
      <c r="J44" s="7" t="s">
        <v>32</v>
      </c>
      <c r="K44" s="7" t="s">
        <v>33</v>
      </c>
      <c r="L44" s="7" t="s">
        <v>34</v>
      </c>
      <c r="M44" s="7" t="s">
        <v>35</v>
      </c>
      <c r="N44" s="1"/>
      <c r="O44" s="1"/>
      <c r="P44" s="1"/>
    </row>
    <row r="45" spans="1:45" ht="22.95" customHeight="1">
      <c r="A45" s="1"/>
      <c r="B45" s="1"/>
      <c r="C45" s="1"/>
      <c r="D45" s="1"/>
      <c r="E45" s="1"/>
      <c r="F45" s="1"/>
      <c r="G45" s="1"/>
      <c r="H45" s="1"/>
      <c r="I45" s="1"/>
      <c r="J45" s="1" t="s">
        <v>5</v>
      </c>
      <c r="K45" s="1">
        <f>F10/1000000</f>
        <v>5.6121698181818171</v>
      </c>
      <c r="L45" s="1">
        <f>F15/1000000</f>
        <v>-246.83656200804043</v>
      </c>
      <c r="M45" s="1">
        <f>F16/1000000</f>
        <v>-8.5137737644000033</v>
      </c>
      <c r="N45" s="1"/>
      <c r="O45" s="1"/>
      <c r="P45" s="1"/>
    </row>
    <row r="46" spans="1:45" ht="22.95" customHeight="1">
      <c r="A46" s="1"/>
      <c r="B46" s="1"/>
      <c r="C46" s="1"/>
      <c r="D46" s="1"/>
      <c r="E46" s="1"/>
      <c r="F46" s="1"/>
      <c r="G46" s="1"/>
      <c r="H46" s="1"/>
      <c r="I46" s="1"/>
      <c r="J46" s="1" t="s">
        <v>6</v>
      </c>
      <c r="K46" s="1">
        <f>G10/1000000</f>
        <v>85.304201575224198</v>
      </c>
      <c r="L46" s="1">
        <f>G15/1000000</f>
        <v>-240.98526288043112</v>
      </c>
      <c r="M46" s="1">
        <f>G16/1000000</f>
        <v>-252.32793416527164</v>
      </c>
      <c r="N46" s="1"/>
      <c r="O46" s="1"/>
      <c r="P46" s="1"/>
    </row>
    <row r="47" spans="1:45" ht="22.95" customHeight="1">
      <c r="A47" s="1"/>
      <c r="B47" s="1"/>
      <c r="C47" s="1"/>
      <c r="D47" s="1"/>
      <c r="E47" s="1"/>
      <c r="F47" s="1"/>
      <c r="G47" s="1"/>
      <c r="H47" s="1"/>
      <c r="I47" s="1"/>
      <c r="J47" s="1" t="s">
        <v>7</v>
      </c>
      <c r="K47" s="1">
        <f>H10/1000000</f>
        <v>184.72419248468327</v>
      </c>
      <c r="L47" s="1">
        <f>H15/1000000</f>
        <v>-245.88898405738803</v>
      </c>
      <c r="M47" s="1">
        <f>H16/1000000</f>
        <v>-471.88362825423917</v>
      </c>
      <c r="N47" s="1"/>
      <c r="O47" s="1"/>
      <c r="P47" s="1"/>
    </row>
    <row r="48" spans="1:45" ht="22.95" customHeight="1">
      <c r="A48" s="1"/>
      <c r="B48" s="1"/>
      <c r="C48" s="1"/>
      <c r="D48" s="1"/>
      <c r="E48" s="1"/>
      <c r="F48" s="1"/>
      <c r="G48" s="1"/>
      <c r="H48" s="1"/>
      <c r="I48" s="1"/>
      <c r="J48" s="1"/>
      <c r="K48" s="1"/>
      <c r="L48" s="1"/>
      <c r="M48" s="1"/>
      <c r="N48" s="1"/>
      <c r="O48" s="1"/>
      <c r="P48" s="1"/>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row>
    <row r="49" spans="1:45" ht="22.95" customHeight="1">
      <c r="A49" s="1"/>
      <c r="B49" s="1"/>
      <c r="C49" s="1"/>
      <c r="D49" s="1"/>
      <c r="E49" s="1"/>
      <c r="F49" s="1"/>
      <c r="G49" s="1"/>
      <c r="H49" s="1"/>
      <c r="I49" s="1"/>
      <c r="J49" s="1"/>
      <c r="K49" s="1"/>
      <c r="L49" s="1"/>
      <c r="M49" s="1"/>
      <c r="N49" s="1"/>
      <c r="O49" s="1"/>
      <c r="P49" s="1"/>
    </row>
    <row r="50" spans="1:45" ht="22.95" customHeight="1">
      <c r="A50" s="1"/>
      <c r="B50" s="1"/>
      <c r="C50" s="1"/>
      <c r="D50" s="1"/>
      <c r="E50" s="1"/>
      <c r="F50" s="1"/>
      <c r="G50" s="1"/>
      <c r="H50" s="1"/>
      <c r="I50" s="1"/>
      <c r="J50" s="1"/>
      <c r="K50" s="1"/>
      <c r="L50" s="1"/>
      <c r="M50" s="1"/>
      <c r="N50" s="1"/>
      <c r="O50" s="1"/>
      <c r="P50" s="1"/>
    </row>
    <row r="51" spans="1:45" ht="22.95" customHeight="1">
      <c r="A51" s="1"/>
      <c r="B51" s="1"/>
      <c r="C51" s="1"/>
      <c r="D51" s="1"/>
      <c r="E51" s="1"/>
      <c r="F51" s="1"/>
      <c r="G51" s="1"/>
      <c r="H51" s="1"/>
      <c r="I51" s="1"/>
      <c r="J51" s="1">
        <v>1</v>
      </c>
      <c r="K51" s="1">
        <v>2</v>
      </c>
      <c r="L51" s="1">
        <v>3</v>
      </c>
      <c r="M51" s="1">
        <v>4</v>
      </c>
      <c r="N51" s="1">
        <v>5</v>
      </c>
      <c r="O51" s="1">
        <v>6</v>
      </c>
      <c r="P51" s="1">
        <v>7</v>
      </c>
      <c r="Q51">
        <v>8</v>
      </c>
      <c r="R51">
        <v>9</v>
      </c>
      <c r="S51">
        <v>10</v>
      </c>
      <c r="T51">
        <v>11</v>
      </c>
      <c r="U51">
        <v>12</v>
      </c>
      <c r="V51">
        <v>13</v>
      </c>
      <c r="W51">
        <v>14</v>
      </c>
      <c r="X51">
        <v>15</v>
      </c>
      <c r="Y51">
        <v>16</v>
      </c>
      <c r="Z51">
        <v>17</v>
      </c>
      <c r="AA51">
        <v>18</v>
      </c>
      <c r="AB51">
        <v>19</v>
      </c>
      <c r="AC51">
        <v>20</v>
      </c>
      <c r="AD51">
        <v>21</v>
      </c>
      <c r="AE51">
        <v>22</v>
      </c>
      <c r="AF51">
        <v>23</v>
      </c>
      <c r="AG51">
        <v>24</v>
      </c>
      <c r="AH51">
        <v>25</v>
      </c>
      <c r="AI51">
        <v>26</v>
      </c>
      <c r="AJ51">
        <v>27</v>
      </c>
      <c r="AK51">
        <v>28</v>
      </c>
      <c r="AL51">
        <v>29</v>
      </c>
      <c r="AM51">
        <v>30</v>
      </c>
      <c r="AN51">
        <v>31</v>
      </c>
      <c r="AO51">
        <v>32</v>
      </c>
      <c r="AP51">
        <v>33</v>
      </c>
      <c r="AQ51">
        <v>34</v>
      </c>
      <c r="AR51">
        <v>35</v>
      </c>
      <c r="AS51">
        <v>36</v>
      </c>
    </row>
    <row r="52" spans="1:45" ht="22.95" customHeight="1">
      <c r="A52" s="1"/>
      <c r="B52" s="1"/>
      <c r="C52" s="1"/>
      <c r="D52" s="1"/>
      <c r="E52" s="1"/>
      <c r="F52" s="1"/>
      <c r="G52" s="1"/>
      <c r="H52" s="1"/>
      <c r="I52" s="1"/>
      <c r="J52" s="1">
        <f>IF('04_재고현금'!J43&lt;0,1,0)</f>
        <v>0</v>
      </c>
      <c r="K52" s="1">
        <f>IF('04_재고현금'!K43&lt;0,1,0)</f>
        <v>0</v>
      </c>
      <c r="L52" s="1">
        <f>IF('04_재고현금'!L43&lt;0,1,0)</f>
        <v>0</v>
      </c>
      <c r="M52" s="1">
        <f>IF('04_재고현금'!M43&lt;0,1,0)</f>
        <v>0</v>
      </c>
      <c r="N52" s="1">
        <f>IF('04_재고현금'!N43&lt;0,1,0)</f>
        <v>0</v>
      </c>
      <c r="O52" s="1">
        <f>IF('04_재고현금'!O43&lt;0,1,0)</f>
        <v>0</v>
      </c>
      <c r="P52" s="1">
        <f>IF('04_재고현금'!P43&lt;0,1,0)</f>
        <v>0</v>
      </c>
      <c r="Q52" s="28">
        <f>IF('04_재고현금'!Q43&lt;0,1,0)</f>
        <v>0</v>
      </c>
      <c r="R52" s="28">
        <f>IF('04_재고현금'!R43&lt;0,1,0)</f>
        <v>0</v>
      </c>
      <c r="S52" s="28">
        <f>IF('04_재고현금'!S43&lt;0,1,0)</f>
        <v>0</v>
      </c>
      <c r="T52" s="28">
        <f>IF('04_재고현금'!T43&lt;0,1,0)</f>
        <v>0</v>
      </c>
      <c r="U52" s="28">
        <f>IF('04_재고현금'!U43&lt;0,1,0)</f>
        <v>1</v>
      </c>
      <c r="V52" s="28">
        <f>IF('04_재고현금'!V43&lt;0,1,0)</f>
        <v>1</v>
      </c>
      <c r="W52" s="28">
        <f>IF('04_재고현금'!W43&lt;0,1,0)</f>
        <v>1</v>
      </c>
      <c r="X52" s="28">
        <f>IF('04_재고현금'!X43&lt;0,1,0)</f>
        <v>1</v>
      </c>
      <c r="Y52" s="28">
        <f>IF('04_재고현금'!Y43&lt;0,1,0)</f>
        <v>1</v>
      </c>
      <c r="Z52" s="28">
        <f>IF('04_재고현금'!Z43&lt;0,1,0)</f>
        <v>1</v>
      </c>
      <c r="AA52" s="28">
        <f>IF('04_재고현금'!AA43&lt;0,1,0)</f>
        <v>1</v>
      </c>
      <c r="AB52" s="28">
        <f>IF('04_재고현금'!AB43&lt;0,1,0)</f>
        <v>1</v>
      </c>
      <c r="AC52" s="28">
        <f>IF('04_재고현금'!AC43&lt;0,1,0)</f>
        <v>1</v>
      </c>
      <c r="AD52" s="28">
        <f>IF('04_재고현금'!AD43&lt;0,1,0)</f>
        <v>1</v>
      </c>
      <c r="AE52" s="28">
        <f>IF('04_재고현금'!AE43&lt;0,1,0)</f>
        <v>1</v>
      </c>
      <c r="AF52" s="28">
        <f>IF('04_재고현금'!AF43&lt;0,1,0)</f>
        <v>1</v>
      </c>
      <c r="AG52" s="28">
        <f>IF('04_재고현금'!AG43&lt;0,1,0)</f>
        <v>1</v>
      </c>
      <c r="AH52" s="28">
        <f>IF('04_재고현금'!AH43&lt;0,1,0)</f>
        <v>1</v>
      </c>
      <c r="AI52" s="28">
        <f>IF('04_재고현금'!AI43&lt;0,1,0)</f>
        <v>1</v>
      </c>
      <c r="AJ52" s="28">
        <f>IF('04_재고현금'!AJ43&lt;0,1,0)</f>
        <v>1</v>
      </c>
      <c r="AK52" s="28">
        <f>IF('04_재고현금'!AK43&lt;0,1,0)</f>
        <v>1</v>
      </c>
      <c r="AL52" s="28">
        <f>IF('04_재고현금'!AL43&lt;0,1,0)</f>
        <v>1</v>
      </c>
      <c r="AM52" s="28">
        <f>IF('04_재고현금'!AM43&lt;0,1,0)</f>
        <v>1</v>
      </c>
      <c r="AN52" s="28">
        <f>IF('04_재고현금'!AN43&lt;0,1,0)</f>
        <v>1</v>
      </c>
      <c r="AO52" s="28">
        <f>IF('04_재고현금'!AO43&lt;0,1,0)</f>
        <v>1</v>
      </c>
      <c r="AP52" s="28">
        <f>IF('04_재고현금'!AP43&lt;0,1,0)</f>
        <v>1</v>
      </c>
      <c r="AQ52" s="28">
        <f>IF('04_재고현금'!AQ43&lt;0,1,0)</f>
        <v>1</v>
      </c>
      <c r="AR52" s="28">
        <f>IF('04_재고현금'!AR43&lt;0,1,0)</f>
        <v>1</v>
      </c>
      <c r="AS52" s="28">
        <f>IF('04_재고현금'!AS43&lt;0,1,0)</f>
        <v>1</v>
      </c>
    </row>
    <row r="53" spans="1:45" ht="22.95" customHeight="1">
      <c r="A53" s="1"/>
      <c r="B53" s="1"/>
      <c r="C53" s="1"/>
      <c r="D53" s="1"/>
      <c r="E53" s="1"/>
      <c r="F53" s="1"/>
      <c r="G53" s="1"/>
      <c r="H53" s="1"/>
      <c r="I53" s="1"/>
      <c r="J53" s="1"/>
      <c r="K53" s="1"/>
      <c r="L53" s="1"/>
      <c r="M53" s="1"/>
      <c r="N53" s="1"/>
      <c r="O53" s="1"/>
      <c r="P53" s="1"/>
    </row>
    <row r="54" spans="1:45" ht="22.95" customHeight="1">
      <c r="A54" s="1"/>
      <c r="B54" s="1"/>
      <c r="C54" s="1"/>
      <c r="D54" s="1"/>
      <c r="E54" s="1"/>
      <c r="F54" s="1"/>
      <c r="G54" s="1"/>
      <c r="H54" s="1"/>
      <c r="I54" s="1"/>
      <c r="J54" s="1"/>
      <c r="K54" s="1"/>
      <c r="L54" s="1"/>
      <c r="M54" s="1"/>
      <c r="N54" s="1"/>
      <c r="O54" s="1"/>
      <c r="P54" s="1"/>
    </row>
  </sheetData>
  <mergeCells count="6">
    <mergeCell ref="C40:P40"/>
    <mergeCell ref="C5:P5"/>
    <mergeCell ref="C28:P28"/>
    <mergeCell ref="C33:P33"/>
    <mergeCell ref="C35:P35"/>
    <mergeCell ref="C37:P37"/>
  </mergeCells>
  <phoneticPr fontId="2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8DA9"/>
  </sheetPr>
  <dimension ref="A1:L125"/>
  <sheetViews>
    <sheetView showGridLines="0" topLeftCell="A13" workbookViewId="0">
      <selection activeCell="D11" sqref="D11"/>
    </sheetView>
  </sheetViews>
  <sheetFormatPr defaultRowHeight="13.8"/>
  <cols>
    <col min="1" max="2" width="2.19921875" customWidth="1"/>
    <col min="3" max="3" width="35" customWidth="1"/>
    <col min="4" max="4" width="12" customWidth="1"/>
    <col min="5" max="5" width="8" customWidth="1"/>
    <col min="6" max="8" width="17"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36</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c r="D4" s="1"/>
      <c r="E4" s="1"/>
      <c r="F4" s="30">
        <v>1</v>
      </c>
      <c r="G4" s="3" t="s">
        <v>37</v>
      </c>
      <c r="H4" s="4" t="str">
        <f>CHOOSE(F4,"보수","기준","확장")</f>
        <v>보수</v>
      </c>
      <c r="I4" s="1"/>
      <c r="J4" s="1"/>
      <c r="K4" s="1"/>
      <c r="L4" s="1"/>
    </row>
    <row r="5" spans="1:12" ht="22.95" customHeight="1">
      <c r="A5" s="1"/>
      <c r="B5" s="1"/>
      <c r="C5" s="1" t="s">
        <v>38</v>
      </c>
      <c r="D5" s="1"/>
      <c r="E5" s="1"/>
      <c r="F5" s="5">
        <v>46388</v>
      </c>
      <c r="G5" s="1"/>
      <c r="H5" s="1"/>
      <c r="I5" s="1"/>
      <c r="J5" s="1"/>
      <c r="K5" s="1"/>
      <c r="L5" s="1"/>
    </row>
    <row r="6" spans="1:12" ht="57" customHeight="1">
      <c r="A6" s="1"/>
      <c r="B6" s="1"/>
      <c r="C6" s="35" t="s">
        <v>39</v>
      </c>
      <c r="D6" s="35"/>
      <c r="E6" s="35"/>
      <c r="F6" s="35"/>
      <c r="G6" s="35"/>
      <c r="H6" s="35"/>
      <c r="I6" s="35"/>
      <c r="J6" s="35"/>
      <c r="K6" s="35"/>
      <c r="L6" s="35"/>
    </row>
    <row r="7" spans="1:12" ht="22.95" customHeight="1">
      <c r="A7" s="1"/>
      <c r="B7" s="1"/>
      <c r="C7" s="1"/>
      <c r="D7" s="1"/>
      <c r="E7" s="1"/>
      <c r="F7" s="1"/>
      <c r="G7" s="1"/>
      <c r="H7" s="1"/>
      <c r="I7" s="1"/>
      <c r="J7" s="1"/>
      <c r="K7" s="1"/>
      <c r="L7" s="1"/>
    </row>
    <row r="8" spans="1:12" ht="30" customHeight="1">
      <c r="A8" s="1"/>
      <c r="B8" s="1"/>
      <c r="C8" s="7" t="s">
        <v>40</v>
      </c>
      <c r="D8" s="7" t="s">
        <v>41</v>
      </c>
      <c r="E8" s="7" t="s">
        <v>4</v>
      </c>
      <c r="F8" s="7" t="s">
        <v>5</v>
      </c>
      <c r="G8" s="7" t="s">
        <v>6</v>
      </c>
      <c r="H8" s="7" t="s">
        <v>7</v>
      </c>
      <c r="I8" s="1"/>
      <c r="J8" s="1" t="s">
        <v>42</v>
      </c>
      <c r="K8" s="1"/>
      <c r="L8" s="1"/>
    </row>
    <row r="9" spans="1:12" ht="22.95" customHeight="1">
      <c r="A9" s="1"/>
      <c r="B9" s="1"/>
      <c r="C9" s="1"/>
      <c r="D9" s="1"/>
      <c r="E9" s="1"/>
      <c r="F9" s="1"/>
      <c r="G9" s="1"/>
      <c r="H9" s="1"/>
      <c r="I9" s="1"/>
      <c r="J9" s="1"/>
      <c r="K9" s="1"/>
      <c r="L9" s="1"/>
    </row>
    <row r="10" spans="1:12" ht="22.95" customHeight="1">
      <c r="A10" s="1"/>
      <c r="B10" s="1"/>
      <c r="C10" s="8" t="s">
        <v>43</v>
      </c>
      <c r="D10" s="8" t="s">
        <v>44</v>
      </c>
      <c r="E10" s="8" t="s">
        <v>11</v>
      </c>
      <c r="F10" s="9">
        <f>IF(CHOOSE($F$4,COUNT(F11),COUNT(F12),COUNT(F13))=0,"미입력",CHOOSE($F$4,F11,F12,F13))</f>
        <v>129000</v>
      </c>
      <c r="G10" s="9">
        <f>IF(CHOOSE($F$4,COUNT(G11),COUNT(G12),COUNT(G13))=0,"미입력",CHOOSE($F$4,G11,G12,G13))</f>
        <v>129000</v>
      </c>
      <c r="H10" s="9">
        <f>IF(CHOOSE($F$4,COUNT(H11),COUNT(H12),COUNT(H13))=0,"미입력",CHOOSE($F$4,H11,H12,H13))</f>
        <v>129000</v>
      </c>
      <c r="I10" s="1"/>
      <c r="J10" s="35" t="s">
        <v>45</v>
      </c>
      <c r="K10" s="35"/>
      <c r="L10" s="35"/>
    </row>
    <row r="11" spans="1:12" ht="22.95" customHeight="1">
      <c r="A11" s="1"/>
      <c r="B11" s="1"/>
      <c r="C11" s="1"/>
      <c r="D11" s="1" t="s">
        <v>46</v>
      </c>
      <c r="E11" s="1"/>
      <c r="F11" s="10">
        <v>129000</v>
      </c>
      <c r="G11" s="10">
        <v>129000</v>
      </c>
      <c r="H11" s="10">
        <v>129000</v>
      </c>
      <c r="I11" s="1"/>
      <c r="J11" s="35"/>
      <c r="K11" s="35"/>
      <c r="L11" s="35"/>
    </row>
    <row r="12" spans="1:12" ht="22.95" customHeight="1">
      <c r="A12" s="1"/>
      <c r="B12" s="1"/>
      <c r="C12" s="1"/>
      <c r="D12" s="1" t="s">
        <v>47</v>
      </c>
      <c r="E12" s="1"/>
      <c r="F12" s="10">
        <v>149000</v>
      </c>
      <c r="G12" s="10">
        <v>149000</v>
      </c>
      <c r="H12" s="10">
        <v>149000</v>
      </c>
      <c r="I12" s="1"/>
      <c r="J12" s="35"/>
      <c r="K12" s="35"/>
      <c r="L12" s="35"/>
    </row>
    <row r="13" spans="1:12" ht="22.95" customHeight="1">
      <c r="A13" s="1"/>
      <c r="B13" s="1"/>
      <c r="C13" s="1"/>
      <c r="D13" s="1" t="s">
        <v>48</v>
      </c>
      <c r="E13" s="1"/>
      <c r="F13" s="10">
        <v>169000</v>
      </c>
      <c r="G13" s="10">
        <v>169000</v>
      </c>
      <c r="H13" s="10">
        <v>169000</v>
      </c>
      <c r="I13" s="1"/>
      <c r="J13" s="35"/>
      <c r="K13" s="35"/>
      <c r="L13" s="35"/>
    </row>
    <row r="14" spans="1:12" ht="22.95" customHeight="1">
      <c r="A14" s="1"/>
      <c r="B14" s="1"/>
      <c r="C14" s="8" t="s">
        <v>49</v>
      </c>
      <c r="D14" s="8" t="s">
        <v>44</v>
      </c>
      <c r="E14" s="8" t="s">
        <v>11</v>
      </c>
      <c r="F14" s="9">
        <f>IF(CHOOSE($F$4,COUNT(F15),COUNT(F16),COUNT(F17))=0,"미입력",CHOOSE($F$4,F15,F16,F17))</f>
        <v>70000</v>
      </c>
      <c r="G14" s="9">
        <f>IF(CHOOSE($F$4,COUNT(G15),COUNT(G16),COUNT(G17))=0,"미입력",CHOOSE($F$4,G15,G16,G17))</f>
        <v>65000</v>
      </c>
      <c r="H14" s="9">
        <f>IF(CHOOSE($F$4,COUNT(H15),COUNT(H16),COUNT(H17))=0,"미입력",CHOOSE($F$4,H15,H16,H17))</f>
        <v>60000</v>
      </c>
      <c r="I14" s="1"/>
      <c r="J14" s="35" t="s">
        <v>50</v>
      </c>
      <c r="K14" s="35"/>
      <c r="L14" s="35"/>
    </row>
    <row r="15" spans="1:12" ht="22.95" customHeight="1">
      <c r="A15" s="1"/>
      <c r="B15" s="1"/>
      <c r="C15" s="1"/>
      <c r="D15" s="1" t="s">
        <v>46</v>
      </c>
      <c r="E15" s="1"/>
      <c r="F15" s="10">
        <v>70000</v>
      </c>
      <c r="G15" s="10">
        <v>65000</v>
      </c>
      <c r="H15" s="10">
        <v>60000</v>
      </c>
      <c r="I15" s="1"/>
      <c r="J15" s="35"/>
      <c r="K15" s="35"/>
      <c r="L15" s="35"/>
    </row>
    <row r="16" spans="1:12" ht="22.95" customHeight="1">
      <c r="A16" s="1"/>
      <c r="B16" s="1"/>
      <c r="C16" s="1"/>
      <c r="D16" s="1" t="s">
        <v>47</v>
      </c>
      <c r="E16" s="1"/>
      <c r="F16" s="10">
        <v>55000</v>
      </c>
      <c r="G16" s="10">
        <v>50000</v>
      </c>
      <c r="H16" s="10">
        <v>46000</v>
      </c>
      <c r="I16" s="1"/>
      <c r="J16" s="35"/>
      <c r="K16" s="35"/>
      <c r="L16" s="35"/>
    </row>
    <row r="17" spans="1:12" ht="22.95" customHeight="1">
      <c r="A17" s="1"/>
      <c r="B17" s="1"/>
      <c r="C17" s="1"/>
      <c r="D17" s="1" t="s">
        <v>48</v>
      </c>
      <c r="E17" s="1"/>
      <c r="F17" s="10">
        <v>45000</v>
      </c>
      <c r="G17" s="10">
        <v>40000</v>
      </c>
      <c r="H17" s="10">
        <v>37000</v>
      </c>
      <c r="I17" s="1"/>
      <c r="J17" s="35"/>
      <c r="K17" s="35"/>
      <c r="L17" s="35"/>
    </row>
    <row r="18" spans="1:12" ht="22.95" customHeight="1">
      <c r="A18" s="1"/>
      <c r="B18" s="1"/>
      <c r="C18" s="8" t="s">
        <v>51</v>
      </c>
      <c r="D18" s="8" t="s">
        <v>44</v>
      </c>
      <c r="E18" s="8" t="s">
        <v>11</v>
      </c>
      <c r="F18" s="9">
        <f>IF(CHOOSE($F$4,COUNT(F19),COUNT(F20),COUNT(F21))=0,"미입력",CHOOSE($F$4,F19,F20,F21))</f>
        <v>1200</v>
      </c>
      <c r="G18" s="9">
        <f>IF(CHOOSE($F$4,COUNT(G19),COUNT(G20),COUNT(G21))=0,"미입력",CHOOSE($F$4,G19,G20,G21))</f>
        <v>1100</v>
      </c>
      <c r="H18" s="9">
        <f>IF(CHOOSE($F$4,COUNT(H19),COUNT(H20),COUNT(H21))=0,"미입력",CHOOSE($F$4,H19,H20,H21))</f>
        <v>1000</v>
      </c>
      <c r="I18" s="1"/>
      <c r="J18" s="35" t="s">
        <v>52</v>
      </c>
      <c r="K18" s="35"/>
      <c r="L18" s="35"/>
    </row>
    <row r="19" spans="1:12" ht="22.95" customHeight="1">
      <c r="A19" s="1"/>
      <c r="B19" s="1"/>
      <c r="C19" s="1"/>
      <c r="D19" s="1" t="s">
        <v>46</v>
      </c>
      <c r="E19" s="1"/>
      <c r="F19" s="10">
        <v>1200</v>
      </c>
      <c r="G19" s="10">
        <v>1100</v>
      </c>
      <c r="H19" s="10">
        <v>1000</v>
      </c>
      <c r="I19" s="1"/>
      <c r="J19" s="35"/>
      <c r="K19" s="35"/>
      <c r="L19" s="35"/>
    </row>
    <row r="20" spans="1:12" ht="22.95" customHeight="1">
      <c r="A20" s="1"/>
      <c r="B20" s="1"/>
      <c r="C20" s="1"/>
      <c r="D20" s="1" t="s">
        <v>47</v>
      </c>
      <c r="E20" s="1"/>
      <c r="F20" s="10">
        <v>900</v>
      </c>
      <c r="G20" s="10">
        <v>800</v>
      </c>
      <c r="H20" s="10">
        <v>750</v>
      </c>
      <c r="I20" s="1"/>
      <c r="J20" s="35"/>
      <c r="K20" s="35"/>
      <c r="L20" s="35"/>
    </row>
    <row r="21" spans="1:12" ht="22.95" customHeight="1">
      <c r="A21" s="1"/>
      <c r="B21" s="1"/>
      <c r="C21" s="1"/>
      <c r="D21" s="1" t="s">
        <v>48</v>
      </c>
      <c r="E21" s="1"/>
      <c r="F21" s="10">
        <v>700</v>
      </c>
      <c r="G21" s="10">
        <v>650</v>
      </c>
      <c r="H21" s="10">
        <v>600</v>
      </c>
      <c r="I21" s="1"/>
      <c r="J21" s="35"/>
      <c r="K21" s="35"/>
      <c r="L21" s="35"/>
    </row>
    <row r="22" spans="1:12" ht="22.95" customHeight="1">
      <c r="A22" s="1"/>
      <c r="B22" s="1"/>
      <c r="C22" s="8" t="s">
        <v>53</v>
      </c>
      <c r="D22" s="8" t="s">
        <v>44</v>
      </c>
      <c r="E22" s="8" t="s">
        <v>54</v>
      </c>
      <c r="F22" s="11">
        <f>IF(CHOOSE($F$4,COUNT(F23),COUNT(F24),COUNT(F25))=0,"미입력",CHOOSE($F$4,F23,F24,F25))</f>
        <v>1.4999999999999999E-2</v>
      </c>
      <c r="G22" s="11">
        <f>IF(CHOOSE($F$4,COUNT(G23),COUNT(G24),COUNT(G25))=0,"미입력",CHOOSE($F$4,G23,G24,G25))</f>
        <v>1.7999999999999999E-2</v>
      </c>
      <c r="H22" s="11">
        <f>IF(CHOOSE($F$4,COUNT(H23),COUNT(H24),COUNT(H25))=0,"미입력",CHOOSE($F$4,H23,H24,H25))</f>
        <v>0.02</v>
      </c>
      <c r="I22" s="1"/>
      <c r="J22" s="35" t="s">
        <v>55</v>
      </c>
      <c r="K22" s="35"/>
      <c r="L22" s="35"/>
    </row>
    <row r="23" spans="1:12" ht="22.95" customHeight="1">
      <c r="A23" s="1"/>
      <c r="B23" s="1"/>
      <c r="C23" s="1"/>
      <c r="D23" s="1" t="s">
        <v>46</v>
      </c>
      <c r="E23" s="1"/>
      <c r="F23" s="12">
        <v>1.4999999999999999E-2</v>
      </c>
      <c r="G23" s="12">
        <v>1.7999999999999999E-2</v>
      </c>
      <c r="H23" s="12">
        <v>0.02</v>
      </c>
      <c r="I23" s="1"/>
      <c r="J23" s="35"/>
      <c r="K23" s="35"/>
      <c r="L23" s="35"/>
    </row>
    <row r="24" spans="1:12" ht="22.95" customHeight="1">
      <c r="A24" s="1"/>
      <c r="B24" s="1"/>
      <c r="C24" s="1"/>
      <c r="D24" s="1" t="s">
        <v>47</v>
      </c>
      <c r="E24" s="1"/>
      <c r="F24" s="12">
        <v>2.5000000000000001E-2</v>
      </c>
      <c r="G24" s="12">
        <v>0.03</v>
      </c>
      <c r="H24" s="12">
        <v>3.5000000000000003E-2</v>
      </c>
      <c r="I24" s="1"/>
      <c r="J24" s="35"/>
      <c r="K24" s="35"/>
      <c r="L24" s="35"/>
    </row>
    <row r="25" spans="1:12" ht="22.95" customHeight="1">
      <c r="A25" s="1"/>
      <c r="B25" s="1"/>
      <c r="C25" s="1"/>
      <c r="D25" s="1" t="s">
        <v>48</v>
      </c>
      <c r="E25" s="1"/>
      <c r="F25" s="12">
        <v>0.04</v>
      </c>
      <c r="G25" s="12">
        <v>4.4999999999999998E-2</v>
      </c>
      <c r="H25" s="12">
        <v>0.05</v>
      </c>
      <c r="I25" s="1"/>
      <c r="J25" s="35"/>
      <c r="K25" s="35"/>
      <c r="L25" s="35"/>
    </row>
    <row r="26" spans="1:12" ht="22.95" customHeight="1">
      <c r="A26" s="1"/>
      <c r="B26" s="1"/>
      <c r="C26" s="8" t="s">
        <v>56</v>
      </c>
      <c r="D26" s="8" t="s">
        <v>44</v>
      </c>
      <c r="E26" s="8" t="s">
        <v>54</v>
      </c>
      <c r="F26" s="11">
        <f>IF(CHOOSE($F$4,COUNT(F27),COUNT(F28),COUNT(F29))=0,"미입력",CHOOSE($F$4,F27,F28,F29))</f>
        <v>0.15</v>
      </c>
      <c r="G26" s="11">
        <f>IF(CHOOSE($F$4,COUNT(G27),COUNT(G28),COUNT(G29))=0,"미입력",CHOOSE($F$4,G27,G28,G29))</f>
        <v>0.12</v>
      </c>
      <c r="H26" s="11">
        <f>IF(CHOOSE($F$4,COUNT(H27),COUNT(H28),COUNT(H29))=0,"미입력",CHOOSE($F$4,H27,H28,H29))</f>
        <v>0.1</v>
      </c>
      <c r="I26" s="1"/>
      <c r="J26" s="35" t="s">
        <v>57</v>
      </c>
      <c r="K26" s="35"/>
      <c r="L26" s="35"/>
    </row>
    <row r="27" spans="1:12" ht="22.95" customHeight="1">
      <c r="A27" s="1"/>
      <c r="B27" s="1"/>
      <c r="C27" s="1"/>
      <c r="D27" s="1" t="s">
        <v>46</v>
      </c>
      <c r="E27" s="1"/>
      <c r="F27" s="12">
        <v>0.15</v>
      </c>
      <c r="G27" s="12">
        <v>0.12</v>
      </c>
      <c r="H27" s="12">
        <v>0.1</v>
      </c>
      <c r="I27" s="1"/>
      <c r="J27" s="35"/>
      <c r="K27" s="35"/>
      <c r="L27" s="35"/>
    </row>
    <row r="28" spans="1:12" ht="22.95" customHeight="1">
      <c r="A28" s="1"/>
      <c r="B28" s="1"/>
      <c r="C28" s="1"/>
      <c r="D28" s="1" t="s">
        <v>47</v>
      </c>
      <c r="E28" s="1"/>
      <c r="F28" s="12">
        <v>0.08</v>
      </c>
      <c r="G28" s="12">
        <v>7.0000000000000007E-2</v>
      </c>
      <c r="H28" s="12">
        <v>0.06</v>
      </c>
      <c r="I28" s="1"/>
      <c r="J28" s="35"/>
      <c r="K28" s="35"/>
      <c r="L28" s="35"/>
    </row>
    <row r="29" spans="1:12" ht="22.95" customHeight="1">
      <c r="A29" s="1"/>
      <c r="B29" s="1"/>
      <c r="C29" s="1"/>
      <c r="D29" s="1" t="s">
        <v>48</v>
      </c>
      <c r="E29" s="1"/>
      <c r="F29" s="12">
        <v>0.05</v>
      </c>
      <c r="G29" s="12">
        <v>0.04</v>
      </c>
      <c r="H29" s="12">
        <v>0.03</v>
      </c>
      <c r="I29" s="1"/>
      <c r="J29" s="35"/>
      <c r="K29" s="35"/>
      <c r="L29" s="35"/>
    </row>
    <row r="30" spans="1:12" ht="22.95" customHeight="1">
      <c r="A30" s="1"/>
      <c r="B30" s="1"/>
      <c r="C30" s="8" t="s">
        <v>58</v>
      </c>
      <c r="D30" s="8" t="s">
        <v>44</v>
      </c>
      <c r="E30" s="8" t="s">
        <v>54</v>
      </c>
      <c r="F30" s="11">
        <f>IF(CHOOSE($F$4,COUNT(F31),COUNT(F32),COUNT(F33))=0,"미입력",CHOOSE($F$4,F31,F32,F33))</f>
        <v>0.1</v>
      </c>
      <c r="G30" s="11">
        <f>IF(CHOOSE($F$4,COUNT(G31),COUNT(G32),COUNT(G33))=0,"미입력",CHOOSE($F$4,G31,G32,G33))</f>
        <v>0.12</v>
      </c>
      <c r="H30" s="11">
        <f>IF(CHOOSE($F$4,COUNT(H31),COUNT(H32),COUNT(H33))=0,"미입력",CHOOSE($F$4,H31,H32,H33))</f>
        <v>0.15</v>
      </c>
      <c r="I30" s="1"/>
      <c r="J30" s="35" t="s">
        <v>59</v>
      </c>
      <c r="K30" s="35"/>
      <c r="L30" s="35"/>
    </row>
    <row r="31" spans="1:12" ht="22.95" customHeight="1">
      <c r="A31" s="1"/>
      <c r="B31" s="1"/>
      <c r="C31" s="1"/>
      <c r="D31" s="1" t="s">
        <v>46</v>
      </c>
      <c r="E31" s="1"/>
      <c r="F31" s="12">
        <v>0.1</v>
      </c>
      <c r="G31" s="12">
        <v>0.12</v>
      </c>
      <c r="H31" s="12">
        <v>0.15</v>
      </c>
      <c r="I31" s="1"/>
      <c r="J31" s="35"/>
      <c r="K31" s="35"/>
      <c r="L31" s="35"/>
    </row>
    <row r="32" spans="1:12" ht="22.95" customHeight="1">
      <c r="A32" s="1"/>
      <c r="B32" s="1"/>
      <c r="C32" s="1"/>
      <c r="D32" s="1" t="s">
        <v>47</v>
      </c>
      <c r="E32" s="1"/>
      <c r="F32" s="12">
        <v>0.25</v>
      </c>
      <c r="G32" s="12">
        <v>0.3</v>
      </c>
      <c r="H32" s="12">
        <v>0.35</v>
      </c>
      <c r="I32" s="1"/>
      <c r="J32" s="35"/>
      <c r="K32" s="35"/>
      <c r="L32" s="35"/>
    </row>
    <row r="33" spans="1:12" ht="22.95" customHeight="1">
      <c r="A33" s="1"/>
      <c r="B33" s="1"/>
      <c r="C33" s="1"/>
      <c r="D33" s="1" t="s">
        <v>48</v>
      </c>
      <c r="E33" s="1"/>
      <c r="F33" s="12">
        <v>0.4</v>
      </c>
      <c r="G33" s="12">
        <v>0.45</v>
      </c>
      <c r="H33" s="12">
        <v>0.5</v>
      </c>
      <c r="I33" s="1"/>
      <c r="J33" s="35"/>
      <c r="K33" s="35"/>
      <c r="L33" s="35"/>
    </row>
    <row r="34" spans="1:12" ht="22.95" customHeight="1">
      <c r="A34" s="1"/>
      <c r="B34" s="1"/>
      <c r="C34" s="8" t="s">
        <v>60</v>
      </c>
      <c r="D34" s="8" t="s">
        <v>44</v>
      </c>
      <c r="E34" s="8" t="s">
        <v>54</v>
      </c>
      <c r="F34" s="11">
        <f>IF(CHOOSE($F$4,COUNT(F35),COUNT(F36),COUNT(F37))=0,"미입력",CHOOSE($F$4,F35,F36,F37))</f>
        <v>0.75</v>
      </c>
      <c r="G34" s="11">
        <f>IF(CHOOSE($F$4,COUNT(G35),COUNT(G36),COUNT(G37))=0,"미입력",CHOOSE($F$4,G35,G36,G37))</f>
        <v>0.78</v>
      </c>
      <c r="H34" s="11">
        <f>IF(CHOOSE($F$4,COUNT(H35),COUNT(H36),COUNT(H37))=0,"미입력",CHOOSE($F$4,H35,H36,H37))</f>
        <v>0.8</v>
      </c>
      <c r="I34" s="1"/>
      <c r="J34" s="35" t="s">
        <v>61</v>
      </c>
      <c r="K34" s="35"/>
      <c r="L34" s="35"/>
    </row>
    <row r="35" spans="1:12" ht="22.95" customHeight="1">
      <c r="A35" s="1"/>
      <c r="B35" s="1"/>
      <c r="C35" s="1"/>
      <c r="D35" s="1" t="s">
        <v>46</v>
      </c>
      <c r="E35" s="1"/>
      <c r="F35" s="12">
        <v>0.75</v>
      </c>
      <c r="G35" s="12">
        <v>0.78</v>
      </c>
      <c r="H35" s="12">
        <v>0.8</v>
      </c>
      <c r="I35" s="1"/>
      <c r="J35" s="35"/>
      <c r="K35" s="35"/>
      <c r="L35" s="35"/>
    </row>
    <row r="36" spans="1:12" ht="22.95" customHeight="1">
      <c r="A36" s="1"/>
      <c r="B36" s="1"/>
      <c r="C36" s="1"/>
      <c r="D36" s="1" t="s">
        <v>47</v>
      </c>
      <c r="E36" s="1"/>
      <c r="F36" s="12">
        <v>0.9</v>
      </c>
      <c r="G36" s="12">
        <v>0.91</v>
      </c>
      <c r="H36" s="12">
        <v>0.92</v>
      </c>
      <c r="I36" s="1"/>
      <c r="J36" s="35"/>
      <c r="K36" s="35"/>
      <c r="L36" s="35"/>
    </row>
    <row r="37" spans="1:12" ht="22.95" customHeight="1">
      <c r="A37" s="1"/>
      <c r="B37" s="1"/>
      <c r="C37" s="1"/>
      <c r="D37" s="1" t="s">
        <v>48</v>
      </c>
      <c r="E37" s="1"/>
      <c r="F37" s="12">
        <v>0.94</v>
      </c>
      <c r="G37" s="12">
        <v>0.95</v>
      </c>
      <c r="H37" s="12">
        <v>0.96</v>
      </c>
      <c r="I37" s="1"/>
      <c r="J37" s="35"/>
      <c r="K37" s="35"/>
      <c r="L37" s="35"/>
    </row>
    <row r="38" spans="1:12" ht="22.95" customHeight="1">
      <c r="A38" s="1"/>
      <c r="B38" s="1"/>
      <c r="C38" s="8" t="s">
        <v>62</v>
      </c>
      <c r="D38" s="8" t="s">
        <v>44</v>
      </c>
      <c r="E38" s="8" t="s">
        <v>63</v>
      </c>
      <c r="F38" s="9">
        <f>IF(CHOOSE($F$4,COUNT(F39),COUNT(F40),COUNT(F41))=0,"미입력",CHOOSE($F$4,F39,F40,F41))</f>
        <v>500</v>
      </c>
      <c r="G38" s="9">
        <f>IF(CHOOSE($F$4,COUNT(G39),COUNT(G40),COUNT(G41))=0,"미입력",CHOOSE($F$4,G39,G40,G41))</f>
        <v>1000</v>
      </c>
      <c r="H38" s="9">
        <f>IF(CHOOSE($F$4,COUNT(H39),COUNT(H40),COUNT(H41))=0,"미입력",CHOOSE($F$4,H39,H40,H41))</f>
        <v>2000</v>
      </c>
      <c r="I38" s="1"/>
      <c r="J38" s="35" t="s">
        <v>64</v>
      </c>
      <c r="K38" s="35"/>
      <c r="L38" s="35"/>
    </row>
    <row r="39" spans="1:12" ht="22.95" customHeight="1">
      <c r="A39" s="1"/>
      <c r="B39" s="1"/>
      <c r="C39" s="1"/>
      <c r="D39" s="1" t="s">
        <v>46</v>
      </c>
      <c r="E39" s="1"/>
      <c r="F39" s="10">
        <v>500</v>
      </c>
      <c r="G39" s="10">
        <v>1000</v>
      </c>
      <c r="H39" s="10">
        <v>2000</v>
      </c>
      <c r="I39" s="1"/>
      <c r="J39" s="35"/>
      <c r="K39" s="35"/>
      <c r="L39" s="35"/>
    </row>
    <row r="40" spans="1:12" ht="22.95" customHeight="1">
      <c r="A40" s="1"/>
      <c r="B40" s="1"/>
      <c r="C40" s="1"/>
      <c r="D40" s="1" t="s">
        <v>47</v>
      </c>
      <c r="E40" s="1"/>
      <c r="F40" s="10">
        <v>1000</v>
      </c>
      <c r="G40" s="10">
        <v>3000</v>
      </c>
      <c r="H40" s="10">
        <v>5000</v>
      </c>
      <c r="I40" s="1"/>
      <c r="J40" s="35"/>
      <c r="K40" s="35"/>
      <c r="L40" s="35"/>
    </row>
    <row r="41" spans="1:12" ht="22.95" customHeight="1">
      <c r="A41" s="1"/>
      <c r="B41" s="1"/>
      <c r="C41" s="1"/>
      <c r="D41" s="1" t="s">
        <v>48</v>
      </c>
      <c r="E41" s="1"/>
      <c r="F41" s="10">
        <v>1500</v>
      </c>
      <c r="G41" s="10">
        <v>5000</v>
      </c>
      <c r="H41" s="10">
        <v>10000</v>
      </c>
      <c r="I41" s="1"/>
      <c r="J41" s="35"/>
      <c r="K41" s="35"/>
      <c r="L41" s="35"/>
    </row>
    <row r="42" spans="1:12" ht="22.95" customHeight="1">
      <c r="A42" s="1"/>
      <c r="B42" s="1"/>
      <c r="C42" s="8" t="s">
        <v>65</v>
      </c>
      <c r="D42" s="8" t="s">
        <v>44</v>
      </c>
      <c r="E42" s="8" t="s">
        <v>11</v>
      </c>
      <c r="F42" s="9">
        <f>IF(CHOOSE($F$4,COUNT(F43),COUNT(F44),COUNT(F45))=0,"미입력",CHOOSE($F$4,F43,F44,F45))</f>
        <v>1500000</v>
      </c>
      <c r="G42" s="9">
        <f>IF(CHOOSE($F$4,COUNT(G43),COUNT(G44),COUNT(G45))=0,"미입력",CHOOSE($F$4,G43,G44,G45))</f>
        <v>3000000</v>
      </c>
      <c r="H42" s="9">
        <f>IF(CHOOSE($F$4,COUNT(H43),COUNT(H44),COUNT(H45))=0,"미입력",CHOOSE($F$4,H43,H44,H45))</f>
        <v>5000000</v>
      </c>
      <c r="I42" s="1"/>
      <c r="J42" s="35" t="s">
        <v>66</v>
      </c>
      <c r="K42" s="35"/>
      <c r="L42" s="35"/>
    </row>
    <row r="43" spans="1:12" ht="22.95" customHeight="1">
      <c r="A43" s="1"/>
      <c r="B43" s="1"/>
      <c r="C43" s="1"/>
      <c r="D43" s="1" t="s">
        <v>46</v>
      </c>
      <c r="E43" s="1"/>
      <c r="F43" s="10">
        <v>1500000</v>
      </c>
      <c r="G43" s="10">
        <v>3000000</v>
      </c>
      <c r="H43" s="10">
        <v>5000000</v>
      </c>
      <c r="I43" s="1"/>
      <c r="J43" s="35"/>
      <c r="K43" s="35"/>
      <c r="L43" s="35"/>
    </row>
    <row r="44" spans="1:12" ht="22.95" customHeight="1">
      <c r="A44" s="1"/>
      <c r="B44" s="1"/>
      <c r="C44" s="1"/>
      <c r="D44" s="1" t="s">
        <v>47</v>
      </c>
      <c r="E44" s="1"/>
      <c r="F44" s="10">
        <v>2000000</v>
      </c>
      <c r="G44" s="10">
        <v>6000000</v>
      </c>
      <c r="H44" s="10">
        <v>12000000</v>
      </c>
      <c r="I44" s="1"/>
      <c r="J44" s="35"/>
      <c r="K44" s="35"/>
      <c r="L44" s="35"/>
    </row>
    <row r="45" spans="1:12" ht="22.95" customHeight="1">
      <c r="A45" s="1"/>
      <c r="B45" s="1"/>
      <c r="C45" s="1"/>
      <c r="D45" s="1" t="s">
        <v>48</v>
      </c>
      <c r="E45" s="1"/>
      <c r="F45" s="10">
        <v>3000000</v>
      </c>
      <c r="G45" s="10">
        <v>10000000</v>
      </c>
      <c r="H45" s="10">
        <v>25000000</v>
      </c>
      <c r="I45" s="1"/>
      <c r="J45" s="35"/>
      <c r="K45" s="35"/>
      <c r="L45" s="35"/>
    </row>
    <row r="46" spans="1:12" ht="22.95" customHeight="1">
      <c r="A46" s="1"/>
      <c r="B46" s="1"/>
      <c r="C46" s="8" t="s">
        <v>67</v>
      </c>
      <c r="D46" s="8" t="s">
        <v>44</v>
      </c>
      <c r="E46" s="8" t="s">
        <v>25</v>
      </c>
      <c r="F46" s="9">
        <f>IF(CHOOSE($F$4,COUNT(F47),COUNT(F48),COUNT(F49))=0,"미입력",CHOOSE($F$4,F47,F48,F49))</f>
        <v>10</v>
      </c>
      <c r="G46" s="9">
        <f>IF(CHOOSE($F$4,COUNT(G47),COUNT(G48),COUNT(G49))=0,"미입력",CHOOSE($F$4,G47,G48,G49))</f>
        <v>10</v>
      </c>
      <c r="H46" s="9">
        <f>IF(CHOOSE($F$4,COUNT(H47),COUNT(H48),COUNT(H49))=0,"미입력",CHOOSE($F$4,H47,H48,H49))</f>
        <v>10</v>
      </c>
      <c r="I46" s="1"/>
      <c r="J46" s="35" t="s">
        <v>68</v>
      </c>
      <c r="K46" s="35"/>
      <c r="L46" s="35"/>
    </row>
    <row r="47" spans="1:12" ht="22.95" customHeight="1">
      <c r="A47" s="1"/>
      <c r="B47" s="1"/>
      <c r="C47" s="1"/>
      <c r="D47" s="1" t="s">
        <v>46</v>
      </c>
      <c r="E47" s="1"/>
      <c r="F47" s="10">
        <v>10</v>
      </c>
      <c r="G47" s="13">
        <f>F47</f>
        <v>10</v>
      </c>
      <c r="H47" s="13">
        <f>F47</f>
        <v>10</v>
      </c>
      <c r="I47" s="1"/>
      <c r="J47" s="35"/>
      <c r="K47" s="35"/>
      <c r="L47" s="35"/>
    </row>
    <row r="48" spans="1:12" ht="22.95" customHeight="1">
      <c r="A48" s="1"/>
      <c r="B48" s="1"/>
      <c r="C48" s="1"/>
      <c r="D48" s="1" t="s">
        <v>47</v>
      </c>
      <c r="E48" s="1"/>
      <c r="F48" s="10">
        <v>7</v>
      </c>
      <c r="G48" s="13">
        <f>F48</f>
        <v>7</v>
      </c>
      <c r="H48" s="13">
        <f>F48</f>
        <v>7</v>
      </c>
      <c r="I48" s="1"/>
      <c r="J48" s="35"/>
      <c r="K48" s="35"/>
      <c r="L48" s="35"/>
    </row>
    <row r="49" spans="1:12" ht="22.95" customHeight="1">
      <c r="A49" s="1"/>
      <c r="B49" s="1"/>
      <c r="C49" s="1"/>
      <c r="D49" s="1" t="s">
        <v>48</v>
      </c>
      <c r="E49" s="1"/>
      <c r="F49" s="10">
        <v>5</v>
      </c>
      <c r="G49" s="13">
        <f>F49</f>
        <v>5</v>
      </c>
      <c r="H49" s="13">
        <f>F49</f>
        <v>5</v>
      </c>
      <c r="I49" s="1"/>
      <c r="J49" s="35"/>
      <c r="K49" s="35"/>
      <c r="L49" s="35"/>
    </row>
    <row r="50" spans="1:12" ht="22.95" customHeight="1">
      <c r="A50" s="1"/>
      <c r="B50" s="1"/>
      <c r="C50" s="8" t="s">
        <v>69</v>
      </c>
      <c r="D50" s="8" t="s">
        <v>44</v>
      </c>
      <c r="E50" s="8" t="s">
        <v>9</v>
      </c>
      <c r="F50" s="9">
        <f>IF(CHOOSE($F$4,COUNT(F51),COUNT(F52),COUNT(F53))=0,"미입력",CHOOSE($F$4,F51,F52,F53))</f>
        <v>0</v>
      </c>
      <c r="G50" s="9">
        <f>IF(CHOOSE($F$4,COUNT(G51),COUNT(G52),COUNT(G53))=0,"미입력",CHOOSE($F$4,G51,G52,G53))</f>
        <v>0</v>
      </c>
      <c r="H50" s="9">
        <f>IF(CHOOSE($F$4,COUNT(H51),COUNT(H52),COUNT(H53))=0,"미입력",CHOOSE($F$4,H51,H52,H53))</f>
        <v>100</v>
      </c>
      <c r="I50" s="1"/>
      <c r="J50" s="35" t="s">
        <v>70</v>
      </c>
      <c r="K50" s="35"/>
      <c r="L50" s="35"/>
    </row>
    <row r="51" spans="1:12" ht="22.95" customHeight="1">
      <c r="A51" s="1"/>
      <c r="B51" s="1"/>
      <c r="C51" s="1"/>
      <c r="D51" s="1" t="s">
        <v>46</v>
      </c>
      <c r="E51" s="1"/>
      <c r="F51" s="10">
        <v>0</v>
      </c>
      <c r="G51" s="10">
        <v>0</v>
      </c>
      <c r="H51" s="10">
        <v>100</v>
      </c>
      <c r="I51" s="1"/>
      <c r="J51" s="35"/>
      <c r="K51" s="35"/>
      <c r="L51" s="35"/>
    </row>
    <row r="52" spans="1:12" ht="22.95" customHeight="1">
      <c r="A52" s="1"/>
      <c r="B52" s="1"/>
      <c r="C52" s="1"/>
      <c r="D52" s="1" t="s">
        <v>47</v>
      </c>
      <c r="E52" s="1"/>
      <c r="F52" s="10">
        <v>0</v>
      </c>
      <c r="G52" s="10">
        <v>100</v>
      </c>
      <c r="H52" s="10">
        <v>300</v>
      </c>
      <c r="I52" s="1"/>
      <c r="J52" s="35"/>
      <c r="K52" s="35"/>
      <c r="L52" s="35"/>
    </row>
    <row r="53" spans="1:12" ht="22.95" customHeight="1">
      <c r="A53" s="1"/>
      <c r="B53" s="1"/>
      <c r="C53" s="1"/>
      <c r="D53" s="1" t="s">
        <v>48</v>
      </c>
      <c r="E53" s="1"/>
      <c r="F53" s="10">
        <v>0</v>
      </c>
      <c r="G53" s="10">
        <v>200</v>
      </c>
      <c r="H53" s="10">
        <v>800</v>
      </c>
      <c r="I53" s="1"/>
      <c r="J53" s="35"/>
      <c r="K53" s="35"/>
      <c r="L53" s="35"/>
    </row>
    <row r="54" spans="1:12" ht="22.95" customHeight="1">
      <c r="A54" s="1"/>
      <c r="B54" s="1"/>
      <c r="C54" s="8" t="s">
        <v>71</v>
      </c>
      <c r="D54" s="8" t="s">
        <v>44</v>
      </c>
      <c r="E54" s="8" t="s">
        <v>54</v>
      </c>
      <c r="F54" s="11">
        <f>IF(CHOOSE($F$4,COUNT(F55),COUNT(F56),COUNT(F57))=0,"미입력",CHOOSE($F$4,F55,F56,F57))</f>
        <v>0.55000000000000004</v>
      </c>
      <c r="G54" s="11">
        <f>IF(CHOOSE($F$4,COUNT(G55),COUNT(G56),COUNT(G57))=0,"미입력",CHOOSE($F$4,G55,G56,G57))</f>
        <v>0.55000000000000004</v>
      </c>
      <c r="H54" s="11">
        <f>IF(CHOOSE($F$4,COUNT(H55),COUNT(H56),COUNT(H57))=0,"미입력",CHOOSE($F$4,H55,H56,H57))</f>
        <v>0.55000000000000004</v>
      </c>
      <c r="I54" s="1"/>
      <c r="J54" s="35" t="s">
        <v>72</v>
      </c>
      <c r="K54" s="35"/>
      <c r="L54" s="35"/>
    </row>
    <row r="55" spans="1:12" ht="22.95" customHeight="1">
      <c r="A55" s="1"/>
      <c r="B55" s="1"/>
      <c r="C55" s="1"/>
      <c r="D55" s="1" t="s">
        <v>46</v>
      </c>
      <c r="E55" s="1"/>
      <c r="F55" s="12">
        <v>0.55000000000000004</v>
      </c>
      <c r="G55" s="12">
        <v>0.55000000000000004</v>
      </c>
      <c r="H55" s="12">
        <v>0.55000000000000004</v>
      </c>
      <c r="I55" s="1"/>
      <c r="J55" s="35"/>
      <c r="K55" s="35"/>
      <c r="L55" s="35"/>
    </row>
    <row r="56" spans="1:12" ht="22.95" customHeight="1">
      <c r="A56" s="1"/>
      <c r="B56" s="1"/>
      <c r="C56" s="1"/>
      <c r="D56" s="1" t="s">
        <v>47</v>
      </c>
      <c r="E56" s="1"/>
      <c r="F56" s="12">
        <v>0.6</v>
      </c>
      <c r="G56" s="12">
        <v>0.6</v>
      </c>
      <c r="H56" s="12">
        <v>0.6</v>
      </c>
      <c r="I56" s="1"/>
      <c r="J56" s="35"/>
      <c r="K56" s="35"/>
      <c r="L56" s="35"/>
    </row>
    <row r="57" spans="1:12" ht="22.95" customHeight="1">
      <c r="A57" s="1"/>
      <c r="B57" s="1"/>
      <c r="C57" s="1"/>
      <c r="D57" s="1" t="s">
        <v>48</v>
      </c>
      <c r="E57" s="1"/>
      <c r="F57" s="12">
        <v>0.65</v>
      </c>
      <c r="G57" s="12">
        <v>0.65</v>
      </c>
      <c r="H57" s="12">
        <v>0.65</v>
      </c>
      <c r="I57" s="1"/>
      <c r="J57" s="35"/>
      <c r="K57" s="35"/>
      <c r="L57" s="35"/>
    </row>
    <row r="58" spans="1:12" ht="22.95" customHeight="1">
      <c r="A58" s="1"/>
      <c r="B58" s="1"/>
      <c r="C58" s="8" t="s">
        <v>73</v>
      </c>
      <c r="D58" s="8" t="s">
        <v>44</v>
      </c>
      <c r="E58" s="8" t="s">
        <v>63</v>
      </c>
      <c r="F58" s="9">
        <f>IF(CHOOSE($F$4,COUNT(F59),COUNT(F60),COUNT(F61))=0,"미입력",CHOOSE($F$4,F59,F60,F61))</f>
        <v>3</v>
      </c>
      <c r="G58" s="9">
        <f>IF(CHOOSE($F$4,COUNT(G59),COUNT(G60),COUNT(G61))=0,"미입력",CHOOSE($F$4,G59,G60,G61))</f>
        <v>3</v>
      </c>
      <c r="H58" s="9">
        <f>IF(CHOOSE($F$4,COUNT(H59),COUNT(H60),COUNT(H61))=0,"미입력",CHOOSE($F$4,H59,H60,H61))</f>
        <v>3</v>
      </c>
      <c r="I58" s="1"/>
      <c r="J58" s="35" t="s">
        <v>74</v>
      </c>
      <c r="K58" s="35"/>
      <c r="L58" s="35"/>
    </row>
    <row r="59" spans="1:12" ht="22.95" customHeight="1">
      <c r="A59" s="1"/>
      <c r="B59" s="1"/>
      <c r="C59" s="1"/>
      <c r="D59" s="1" t="s">
        <v>46</v>
      </c>
      <c r="E59" s="1"/>
      <c r="F59" s="10">
        <v>3</v>
      </c>
      <c r="G59" s="10">
        <v>3</v>
      </c>
      <c r="H59" s="10">
        <v>3</v>
      </c>
      <c r="I59" s="1"/>
      <c r="J59" s="35"/>
      <c r="K59" s="35"/>
      <c r="L59" s="35"/>
    </row>
    <row r="60" spans="1:12" ht="22.95" customHeight="1">
      <c r="A60" s="1"/>
      <c r="B60" s="1"/>
      <c r="C60" s="1"/>
      <c r="D60" s="1" t="s">
        <v>47</v>
      </c>
      <c r="E60" s="1"/>
      <c r="F60" s="10">
        <v>3</v>
      </c>
      <c r="G60" s="10">
        <v>3</v>
      </c>
      <c r="H60" s="10">
        <v>4</v>
      </c>
      <c r="I60" s="1"/>
      <c r="J60" s="35"/>
      <c r="K60" s="35"/>
      <c r="L60" s="35"/>
    </row>
    <row r="61" spans="1:12" ht="22.95" customHeight="1">
      <c r="A61" s="1"/>
      <c r="B61" s="1"/>
      <c r="C61" s="1"/>
      <c r="D61" s="1" t="s">
        <v>48</v>
      </c>
      <c r="E61" s="1"/>
      <c r="F61" s="10">
        <v>3</v>
      </c>
      <c r="G61" s="10">
        <v>4</v>
      </c>
      <c r="H61" s="10">
        <v>6</v>
      </c>
      <c r="I61" s="1"/>
      <c r="J61" s="35"/>
      <c r="K61" s="35"/>
      <c r="L61" s="35"/>
    </row>
    <row r="62" spans="1:12" ht="22.95" customHeight="1">
      <c r="A62" s="1"/>
      <c r="B62" s="1"/>
      <c r="C62" s="8" t="s">
        <v>75</v>
      </c>
      <c r="D62" s="8" t="s">
        <v>44</v>
      </c>
      <c r="E62" s="8" t="s">
        <v>11</v>
      </c>
      <c r="F62" s="9">
        <f>IF(CHOOSE($F$4,COUNT(F63),COUNT(F64),COUNT(F65))=0,"미입력",CHOOSE($F$4,F63,F64,F65))</f>
        <v>4500000</v>
      </c>
      <c r="G62" s="9">
        <f>IF(CHOOSE($F$4,COUNT(G63),COUNT(G64),COUNT(G65))=0,"미입력",CHOOSE($F$4,G63,G64,G65))</f>
        <v>4700000</v>
      </c>
      <c r="H62" s="9">
        <f>IF(CHOOSE($F$4,COUNT(H63),COUNT(H64),COUNT(H65))=0,"미입력",CHOOSE($F$4,H63,H64,H65))</f>
        <v>5000000</v>
      </c>
      <c r="I62" s="1"/>
      <c r="J62" s="35" t="s">
        <v>76</v>
      </c>
      <c r="K62" s="35"/>
      <c r="L62" s="35"/>
    </row>
    <row r="63" spans="1:12" ht="22.95" customHeight="1">
      <c r="A63" s="1"/>
      <c r="B63" s="1"/>
      <c r="C63" s="1"/>
      <c r="D63" s="1" t="s">
        <v>46</v>
      </c>
      <c r="E63" s="1"/>
      <c r="F63" s="10">
        <v>4500000</v>
      </c>
      <c r="G63" s="10">
        <v>4700000</v>
      </c>
      <c r="H63" s="10">
        <v>5000000</v>
      </c>
      <c r="I63" s="1"/>
      <c r="J63" s="35"/>
      <c r="K63" s="35"/>
      <c r="L63" s="35"/>
    </row>
    <row r="64" spans="1:12" ht="22.95" customHeight="1">
      <c r="A64" s="1"/>
      <c r="B64" s="1"/>
      <c r="C64" s="1"/>
      <c r="D64" s="1" t="s">
        <v>47</v>
      </c>
      <c r="E64" s="1"/>
      <c r="F64" s="10">
        <v>4500000</v>
      </c>
      <c r="G64" s="10">
        <v>4700000</v>
      </c>
      <c r="H64" s="10">
        <v>5000000</v>
      </c>
      <c r="I64" s="1"/>
      <c r="J64" s="35"/>
      <c r="K64" s="35"/>
      <c r="L64" s="35"/>
    </row>
    <row r="65" spans="1:12" ht="22.95" customHeight="1">
      <c r="A65" s="1"/>
      <c r="B65" s="1"/>
      <c r="C65" s="1"/>
      <c r="D65" s="1" t="s">
        <v>48</v>
      </c>
      <c r="E65" s="1"/>
      <c r="F65" s="10">
        <v>4500000</v>
      </c>
      <c r="G65" s="10">
        <v>4700000</v>
      </c>
      <c r="H65" s="10">
        <v>5000000</v>
      </c>
      <c r="I65" s="1"/>
      <c r="J65" s="35"/>
      <c r="K65" s="35"/>
      <c r="L65" s="35"/>
    </row>
    <row r="66" spans="1:12" ht="22.95" customHeight="1">
      <c r="A66" s="1"/>
      <c r="B66" s="1"/>
      <c r="C66" s="8" t="s">
        <v>77</v>
      </c>
      <c r="D66" s="8" t="s">
        <v>44</v>
      </c>
      <c r="E66" s="8" t="s">
        <v>11</v>
      </c>
      <c r="F66" s="9">
        <f>IF(CHOOSE($F$4,COUNT(F67),COUNT(F68),COUNT(F69))=0,"미입력",CHOOSE($F$4,F67,F68,F69))</f>
        <v>2000000</v>
      </c>
      <c r="G66" s="9">
        <f>IF(CHOOSE($F$4,COUNT(G67),COUNT(G68),COUNT(G69))=0,"미입력",CHOOSE($F$4,G67,G68,G69))</f>
        <v>2500000</v>
      </c>
      <c r="H66" s="9">
        <f>IF(CHOOSE($F$4,COUNT(H67),COUNT(H68),COUNT(H69))=0,"미입력",CHOOSE($F$4,H67,H68,H69))</f>
        <v>3000000</v>
      </c>
      <c r="I66" s="1"/>
      <c r="J66" s="35" t="s">
        <v>78</v>
      </c>
      <c r="K66" s="35"/>
      <c r="L66" s="35"/>
    </row>
    <row r="67" spans="1:12" ht="22.95" customHeight="1">
      <c r="A67" s="1"/>
      <c r="B67" s="1"/>
      <c r="C67" s="1"/>
      <c r="D67" s="1" t="s">
        <v>46</v>
      </c>
      <c r="E67" s="1"/>
      <c r="F67" s="10">
        <v>2000000</v>
      </c>
      <c r="G67" s="10">
        <v>2500000</v>
      </c>
      <c r="H67" s="10">
        <v>3000000</v>
      </c>
      <c r="I67" s="1"/>
      <c r="J67" s="35"/>
      <c r="K67" s="35"/>
      <c r="L67" s="35"/>
    </row>
    <row r="68" spans="1:12" ht="22.95" customHeight="1">
      <c r="A68" s="1"/>
      <c r="B68" s="1"/>
      <c r="C68" s="1"/>
      <c r="D68" s="1" t="s">
        <v>47</v>
      </c>
      <c r="E68" s="1"/>
      <c r="F68" s="10">
        <v>2000000</v>
      </c>
      <c r="G68" s="10">
        <v>3000000</v>
      </c>
      <c r="H68" s="10">
        <v>4000000</v>
      </c>
      <c r="I68" s="1"/>
      <c r="J68" s="35"/>
      <c r="K68" s="35"/>
      <c r="L68" s="35"/>
    </row>
    <row r="69" spans="1:12" ht="22.95" customHeight="1">
      <c r="A69" s="1"/>
      <c r="B69" s="1"/>
      <c r="C69" s="1"/>
      <c r="D69" s="1" t="s">
        <v>48</v>
      </c>
      <c r="E69" s="1"/>
      <c r="F69" s="10">
        <v>2000000</v>
      </c>
      <c r="G69" s="10">
        <v>4000000</v>
      </c>
      <c r="H69" s="10">
        <v>6000000</v>
      </c>
      <c r="I69" s="1"/>
      <c r="J69" s="35"/>
      <c r="K69" s="35"/>
      <c r="L69" s="35"/>
    </row>
    <row r="70" spans="1:12" ht="22.95" customHeight="1">
      <c r="A70" s="1"/>
      <c r="B70" s="1"/>
      <c r="C70" s="8" t="s">
        <v>79</v>
      </c>
      <c r="D70" s="8" t="s">
        <v>44</v>
      </c>
      <c r="E70" s="8" t="s">
        <v>11</v>
      </c>
      <c r="F70" s="9">
        <f>IF(CHOOSE($F$4,COUNT(F71),COUNT(F72),COUNT(F73))=0,"미입력",CHOOSE($F$4,F71,F72,F73))</f>
        <v>9900</v>
      </c>
      <c r="G70" s="9">
        <f>IF(CHOOSE($F$4,COUNT(G71),COUNT(G72),COUNT(G73))=0,"미입력",CHOOSE($F$4,G71,G72,G73))</f>
        <v>9900</v>
      </c>
      <c r="H70" s="9">
        <f>IF(CHOOSE($F$4,COUNT(H71),COUNT(H72),COUNT(H73))=0,"미입력",CHOOSE($F$4,H71,H72,H73))</f>
        <v>9900</v>
      </c>
      <c r="I70" s="1"/>
      <c r="J70" s="35" t="s">
        <v>80</v>
      </c>
      <c r="K70" s="35"/>
      <c r="L70" s="35"/>
    </row>
    <row r="71" spans="1:12" ht="22.95" customHeight="1">
      <c r="A71" s="1"/>
      <c r="B71" s="1"/>
      <c r="C71" s="1"/>
      <c r="D71" s="1" t="s">
        <v>46</v>
      </c>
      <c r="E71" s="1"/>
      <c r="F71" s="10">
        <v>9900</v>
      </c>
      <c r="G71" s="10">
        <v>9900</v>
      </c>
      <c r="H71" s="10">
        <v>9900</v>
      </c>
      <c r="I71" s="1"/>
      <c r="J71" s="35"/>
      <c r="K71" s="35"/>
      <c r="L71" s="35"/>
    </row>
    <row r="72" spans="1:12" ht="22.95" customHeight="1">
      <c r="A72" s="1"/>
      <c r="B72" s="1"/>
      <c r="C72" s="1"/>
      <c r="D72" s="1" t="s">
        <v>47</v>
      </c>
      <c r="E72" s="1"/>
      <c r="F72" s="10">
        <v>12900</v>
      </c>
      <c r="G72" s="10">
        <v>12900</v>
      </c>
      <c r="H72" s="10">
        <v>12900</v>
      </c>
      <c r="I72" s="1"/>
      <c r="J72" s="35"/>
      <c r="K72" s="35"/>
      <c r="L72" s="35"/>
    </row>
    <row r="73" spans="1:12" ht="22.95" customHeight="1">
      <c r="A73" s="1"/>
      <c r="B73" s="1"/>
      <c r="C73" s="1"/>
      <c r="D73" s="1" t="s">
        <v>48</v>
      </c>
      <c r="E73" s="1"/>
      <c r="F73" s="10">
        <v>14900</v>
      </c>
      <c r="G73" s="10">
        <v>14900</v>
      </c>
      <c r="H73" s="10">
        <v>14900</v>
      </c>
      <c r="I73" s="1"/>
      <c r="J73" s="35"/>
      <c r="K73" s="35"/>
      <c r="L73" s="35"/>
    </row>
    <row r="74" spans="1:12" ht="22.95" customHeight="1">
      <c r="A74" s="1"/>
      <c r="B74" s="1"/>
      <c r="C74" s="8" t="s">
        <v>81</v>
      </c>
      <c r="D74" s="8" t="s">
        <v>44</v>
      </c>
      <c r="E74" s="8" t="s">
        <v>11</v>
      </c>
      <c r="F74" s="9">
        <f>IF(CHOOSE($F$4,COUNT(F75),COUNT(F76),COUNT(F77))=0,"미입력",CHOOSE($F$4,F75,F76,F77))</f>
        <v>4500</v>
      </c>
      <c r="G74" s="9">
        <f>IF(CHOOSE($F$4,COUNT(G75),COUNT(G76),COUNT(G77))=0,"미입력",CHOOSE($F$4,G75,G76,G77))</f>
        <v>4300</v>
      </c>
      <c r="H74" s="9">
        <f>IF(CHOOSE($F$4,COUNT(H75),COUNT(H76),COUNT(H77))=0,"미입력",CHOOSE($F$4,H75,H76,H77))</f>
        <v>4000</v>
      </c>
      <c r="I74" s="1"/>
      <c r="J74" s="35" t="s">
        <v>82</v>
      </c>
      <c r="K74" s="35"/>
      <c r="L74" s="35"/>
    </row>
    <row r="75" spans="1:12" ht="22.95" customHeight="1">
      <c r="A75" s="1"/>
      <c r="B75" s="1"/>
      <c r="C75" s="1"/>
      <c r="D75" s="1" t="s">
        <v>46</v>
      </c>
      <c r="E75" s="1"/>
      <c r="F75" s="10">
        <v>4500</v>
      </c>
      <c r="G75" s="10">
        <v>4300</v>
      </c>
      <c r="H75" s="10">
        <v>4000</v>
      </c>
      <c r="I75" s="1"/>
      <c r="J75" s="35"/>
      <c r="K75" s="35"/>
      <c r="L75" s="35"/>
    </row>
    <row r="76" spans="1:12" ht="22.95" customHeight="1">
      <c r="A76" s="1"/>
      <c r="B76" s="1"/>
      <c r="C76" s="1"/>
      <c r="D76" s="1" t="s">
        <v>47</v>
      </c>
      <c r="E76" s="1"/>
      <c r="F76" s="10">
        <v>3500</v>
      </c>
      <c r="G76" s="10">
        <v>3200</v>
      </c>
      <c r="H76" s="10">
        <v>3000</v>
      </c>
      <c r="I76" s="1"/>
      <c r="J76" s="35"/>
      <c r="K76" s="35"/>
      <c r="L76" s="35"/>
    </row>
    <row r="77" spans="1:12" ht="22.95" customHeight="1">
      <c r="A77" s="1"/>
      <c r="B77" s="1"/>
      <c r="C77" s="1"/>
      <c r="D77" s="1" t="s">
        <v>48</v>
      </c>
      <c r="E77" s="1"/>
      <c r="F77" s="10">
        <v>2800</v>
      </c>
      <c r="G77" s="10">
        <v>2500</v>
      </c>
      <c r="H77" s="10">
        <v>2300</v>
      </c>
      <c r="I77" s="1"/>
      <c r="J77" s="35"/>
      <c r="K77" s="35"/>
      <c r="L77" s="35"/>
    </row>
    <row r="78" spans="1:12" ht="22.95" customHeight="1">
      <c r="A78" s="1"/>
      <c r="B78" s="1"/>
      <c r="C78" s="1"/>
      <c r="D78" s="1"/>
      <c r="E78" s="1"/>
      <c r="F78" s="1"/>
      <c r="G78" s="1"/>
      <c r="H78" s="1"/>
      <c r="I78" s="1"/>
      <c r="J78" s="1"/>
      <c r="K78" s="1"/>
      <c r="L78" s="1"/>
    </row>
    <row r="79" spans="1:12" ht="22.95" customHeight="1">
      <c r="A79" s="1"/>
      <c r="B79" s="1"/>
      <c r="C79" s="1"/>
      <c r="D79" s="1"/>
      <c r="E79" s="1"/>
      <c r="F79" s="1"/>
      <c r="G79" s="1"/>
      <c r="H79" s="1"/>
      <c r="I79" s="1"/>
      <c r="J79" s="1"/>
      <c r="K79" s="1"/>
      <c r="L79" s="1"/>
    </row>
    <row r="80" spans="1:12" ht="22.95" customHeight="1">
      <c r="A80" s="1"/>
      <c r="B80" s="1"/>
      <c r="C80" s="8" t="s">
        <v>83</v>
      </c>
      <c r="D80" s="8"/>
      <c r="E80" s="8"/>
      <c r="F80" s="8"/>
      <c r="G80" s="8"/>
      <c r="H80" s="8"/>
      <c r="I80" s="8"/>
      <c r="J80" s="8"/>
      <c r="K80" s="8"/>
      <c r="L80" s="8"/>
    </row>
    <row r="81" spans="1:12" ht="22.95" customHeight="1">
      <c r="A81" s="1"/>
      <c r="B81" s="1"/>
      <c r="C81" s="1"/>
      <c r="D81" s="1"/>
      <c r="E81" s="1"/>
      <c r="F81" s="1"/>
      <c r="G81" s="1"/>
      <c r="H81" s="1"/>
      <c r="I81" s="1"/>
      <c r="J81" s="1"/>
      <c r="K81" s="1"/>
      <c r="L81" s="1"/>
    </row>
    <row r="82" spans="1:12" ht="30" customHeight="1">
      <c r="A82" s="1"/>
      <c r="B82" s="1"/>
      <c r="C82" s="7" t="s">
        <v>84</v>
      </c>
      <c r="D82" s="7" t="s">
        <v>4</v>
      </c>
      <c r="E82" s="7"/>
      <c r="F82" s="7" t="s">
        <v>85</v>
      </c>
      <c r="G82" s="1"/>
      <c r="H82" s="1"/>
      <c r="I82" s="1"/>
      <c r="J82" s="1" t="s">
        <v>86</v>
      </c>
      <c r="K82" s="1"/>
      <c r="L82" s="1"/>
    </row>
    <row r="83" spans="1:12" ht="22.95" customHeight="1">
      <c r="A83" s="1"/>
      <c r="B83" s="1"/>
      <c r="C83" s="36" t="s">
        <v>87</v>
      </c>
      <c r="D83" s="36"/>
      <c r="E83" s="36"/>
      <c r="F83" s="36"/>
      <c r="G83" s="36"/>
      <c r="H83" s="36"/>
      <c r="I83" s="36"/>
      <c r="J83" s="36"/>
      <c r="K83" s="36"/>
      <c r="L83" s="36"/>
    </row>
    <row r="84" spans="1:12" ht="22.95" customHeight="1">
      <c r="A84" s="1"/>
      <c r="B84" s="1"/>
      <c r="C84" s="36"/>
      <c r="D84" s="36"/>
      <c r="E84" s="36"/>
      <c r="F84" s="36"/>
      <c r="G84" s="36"/>
      <c r="H84" s="36"/>
      <c r="I84" s="36"/>
      <c r="J84" s="36"/>
      <c r="K84" s="36"/>
      <c r="L84" s="36"/>
    </row>
    <row r="85" spans="1:12" ht="43.05" customHeight="1">
      <c r="A85" s="1"/>
      <c r="B85" s="1"/>
      <c r="C85" s="1" t="s">
        <v>88</v>
      </c>
      <c r="D85" s="1" t="s">
        <v>54</v>
      </c>
      <c r="E85" s="1"/>
      <c r="F85" s="12">
        <v>0.1</v>
      </c>
      <c r="G85" s="1"/>
      <c r="H85" s="1"/>
      <c r="I85" s="1"/>
      <c r="J85" s="37" t="s">
        <v>89</v>
      </c>
      <c r="K85" s="37"/>
      <c r="L85" s="37"/>
    </row>
    <row r="86" spans="1:12" ht="43.05" customHeight="1">
      <c r="A86" s="1"/>
      <c r="B86" s="1"/>
      <c r="C86" s="1" t="s">
        <v>90</v>
      </c>
      <c r="D86" s="1" t="s">
        <v>54</v>
      </c>
      <c r="E86" s="1"/>
      <c r="F86" s="12">
        <v>3.3000000000000002E-2</v>
      </c>
      <c r="G86" s="1"/>
      <c r="H86" s="1"/>
      <c r="I86" s="1"/>
      <c r="J86" s="37" t="s">
        <v>91</v>
      </c>
      <c r="K86" s="37"/>
      <c r="L86" s="37"/>
    </row>
    <row r="87" spans="1:12" ht="43.05" customHeight="1">
      <c r="A87" s="1"/>
      <c r="B87" s="1"/>
      <c r="C87" s="1" t="s">
        <v>92</v>
      </c>
      <c r="D87" s="1" t="s">
        <v>11</v>
      </c>
      <c r="E87" s="1"/>
      <c r="F87" s="10">
        <v>4500</v>
      </c>
      <c r="G87" s="1"/>
      <c r="H87" s="1"/>
      <c r="I87" s="1"/>
      <c r="J87" s="37" t="s">
        <v>93</v>
      </c>
      <c r="K87" s="37"/>
      <c r="L87" s="37"/>
    </row>
    <row r="88" spans="1:12" ht="43.05" customHeight="1">
      <c r="A88" s="1"/>
      <c r="B88" s="1"/>
      <c r="C88" s="1" t="s">
        <v>94</v>
      </c>
      <c r="D88" s="1" t="s">
        <v>11</v>
      </c>
      <c r="E88" s="1"/>
      <c r="F88" s="10">
        <v>6000</v>
      </c>
      <c r="G88" s="1"/>
      <c r="H88" s="1"/>
      <c r="I88" s="1"/>
      <c r="J88" s="37" t="s">
        <v>95</v>
      </c>
      <c r="K88" s="37"/>
      <c r="L88" s="37"/>
    </row>
    <row r="89" spans="1:12" ht="43.05" customHeight="1">
      <c r="A89" s="1"/>
      <c r="B89" s="1"/>
      <c r="C89" s="1" t="s">
        <v>96</v>
      </c>
      <c r="D89" s="1" t="s">
        <v>11</v>
      </c>
      <c r="E89" s="1"/>
      <c r="F89" s="10">
        <v>2000</v>
      </c>
      <c r="G89" s="1"/>
      <c r="H89" s="1"/>
      <c r="I89" s="1"/>
      <c r="J89" s="37" t="s">
        <v>97</v>
      </c>
      <c r="K89" s="37"/>
      <c r="L89" s="37"/>
    </row>
    <row r="90" spans="1:12" ht="43.05" customHeight="1">
      <c r="A90" s="1"/>
      <c r="B90" s="1"/>
      <c r="C90" s="1" t="s">
        <v>98</v>
      </c>
      <c r="D90" s="1" t="s">
        <v>11</v>
      </c>
      <c r="E90" s="1"/>
      <c r="F90" s="10">
        <v>1000</v>
      </c>
      <c r="G90" s="1"/>
      <c r="H90" s="1"/>
      <c r="I90" s="1"/>
      <c r="J90" s="37" t="s">
        <v>99</v>
      </c>
      <c r="K90" s="37"/>
      <c r="L90" s="37"/>
    </row>
    <row r="91" spans="1:12" ht="43.05" customHeight="1">
      <c r="A91" s="1"/>
      <c r="B91" s="1"/>
      <c r="C91" s="1" t="s">
        <v>100</v>
      </c>
      <c r="D91" s="1" t="s">
        <v>11</v>
      </c>
      <c r="E91" s="1"/>
      <c r="F91" s="10">
        <v>3000</v>
      </c>
      <c r="G91" s="1"/>
      <c r="H91" s="1"/>
      <c r="I91" s="1"/>
      <c r="J91" s="37" t="s">
        <v>101</v>
      </c>
      <c r="K91" s="37"/>
      <c r="L91" s="37"/>
    </row>
    <row r="92" spans="1:12" ht="43.05" customHeight="1">
      <c r="A92" s="1"/>
      <c r="B92" s="1"/>
      <c r="C92" s="1" t="s">
        <v>102</v>
      </c>
      <c r="D92" s="1" t="s">
        <v>54</v>
      </c>
      <c r="E92" s="1"/>
      <c r="F92" s="12">
        <v>3.3000000000000002E-2</v>
      </c>
      <c r="G92" s="1"/>
      <c r="H92" s="1"/>
      <c r="I92" s="1"/>
      <c r="J92" s="37" t="s">
        <v>103</v>
      </c>
      <c r="K92" s="37"/>
      <c r="L92" s="37"/>
    </row>
    <row r="93" spans="1:12" ht="43.05" customHeight="1">
      <c r="A93" s="1"/>
      <c r="B93" s="1"/>
      <c r="C93" s="1" t="s">
        <v>104</v>
      </c>
      <c r="D93" s="1" t="s">
        <v>54</v>
      </c>
      <c r="E93" s="1"/>
      <c r="F93" s="12">
        <v>0.02</v>
      </c>
      <c r="G93" s="1"/>
      <c r="H93" s="1"/>
      <c r="I93" s="1"/>
      <c r="J93" s="37" t="s">
        <v>105</v>
      </c>
      <c r="K93" s="37"/>
      <c r="L93" s="37"/>
    </row>
    <row r="94" spans="1:12" ht="43.05" customHeight="1">
      <c r="A94" s="1"/>
      <c r="B94" s="1"/>
      <c r="C94" s="1" t="s">
        <v>106</v>
      </c>
      <c r="D94" s="1" t="s">
        <v>107</v>
      </c>
      <c r="E94" s="1"/>
      <c r="F94" s="10">
        <v>1</v>
      </c>
      <c r="G94" s="1"/>
      <c r="H94" s="1"/>
      <c r="I94" s="1"/>
      <c r="J94" s="37" t="s">
        <v>108</v>
      </c>
      <c r="K94" s="37"/>
      <c r="L94" s="37"/>
    </row>
    <row r="95" spans="1:12" ht="43.05" customHeight="1">
      <c r="A95" s="1"/>
      <c r="B95" s="1"/>
      <c r="C95" s="1" t="s">
        <v>109</v>
      </c>
      <c r="D95" s="1" t="s">
        <v>110</v>
      </c>
      <c r="E95" s="1"/>
      <c r="F95" s="33">
        <v>0</v>
      </c>
      <c r="G95" s="1"/>
      <c r="H95" s="1"/>
      <c r="I95" s="1"/>
      <c r="J95" s="37" t="s">
        <v>111</v>
      </c>
      <c r="K95" s="37"/>
      <c r="L95" s="37"/>
    </row>
    <row r="96" spans="1:12" ht="43.05" customHeight="1">
      <c r="A96" s="1"/>
      <c r="B96" s="1"/>
      <c r="C96" s="1" t="s">
        <v>112</v>
      </c>
      <c r="D96" s="1" t="s">
        <v>113</v>
      </c>
      <c r="E96" s="1"/>
      <c r="F96" s="10">
        <v>2</v>
      </c>
      <c r="G96" s="1"/>
      <c r="H96" s="1"/>
      <c r="I96" s="1"/>
      <c r="J96" s="37" t="s">
        <v>114</v>
      </c>
      <c r="K96" s="37"/>
      <c r="L96" s="37"/>
    </row>
    <row r="97" spans="1:12" ht="43.05" customHeight="1">
      <c r="A97" s="1"/>
      <c r="B97" s="1"/>
      <c r="C97" s="1" t="s">
        <v>115</v>
      </c>
      <c r="D97" s="1" t="s">
        <v>11</v>
      </c>
      <c r="E97" s="1"/>
      <c r="F97" s="10">
        <v>2000</v>
      </c>
      <c r="G97" s="1"/>
      <c r="H97" s="1"/>
      <c r="I97" s="1"/>
      <c r="J97" s="37" t="s">
        <v>116</v>
      </c>
      <c r="K97" s="37"/>
      <c r="L97" s="37"/>
    </row>
    <row r="98" spans="1:12" ht="43.05" customHeight="1">
      <c r="A98" s="1"/>
      <c r="B98" s="1"/>
      <c r="C98" s="1" t="s">
        <v>117</v>
      </c>
      <c r="D98" s="1" t="s">
        <v>54</v>
      </c>
      <c r="E98" s="1"/>
      <c r="F98" s="12">
        <v>0.03</v>
      </c>
      <c r="G98" s="1"/>
      <c r="H98" s="1"/>
      <c r="I98" s="1"/>
      <c r="J98" s="37" t="s">
        <v>118</v>
      </c>
      <c r="K98" s="37"/>
      <c r="L98" s="37"/>
    </row>
    <row r="99" spans="1:12" ht="43.05" customHeight="1">
      <c r="A99" s="1"/>
      <c r="B99" s="1"/>
      <c r="C99" s="1" t="s">
        <v>119</v>
      </c>
      <c r="D99" s="1" t="s">
        <v>9</v>
      </c>
      <c r="E99" s="1"/>
      <c r="F99" s="10">
        <v>300</v>
      </c>
      <c r="G99" s="1"/>
      <c r="H99" s="1"/>
      <c r="I99" s="1"/>
      <c r="J99" s="37" t="s">
        <v>120</v>
      </c>
      <c r="K99" s="37"/>
      <c r="L99" s="37"/>
    </row>
    <row r="100" spans="1:12" ht="43.05" customHeight="1">
      <c r="A100" s="1"/>
      <c r="B100" s="1"/>
      <c r="C100" s="1" t="s">
        <v>121</v>
      </c>
      <c r="D100" s="1" t="s">
        <v>9</v>
      </c>
      <c r="E100" s="1"/>
      <c r="F100" s="10">
        <v>100</v>
      </c>
      <c r="G100" s="1"/>
      <c r="H100" s="1"/>
      <c r="I100" s="1"/>
      <c r="J100" s="37" t="s">
        <v>122</v>
      </c>
      <c r="K100" s="37"/>
      <c r="L100" s="37"/>
    </row>
    <row r="101" spans="1:12" ht="43.05" customHeight="1">
      <c r="A101" s="1"/>
      <c r="B101" s="1"/>
      <c r="C101" s="1" t="s">
        <v>123</v>
      </c>
      <c r="D101" s="1" t="s">
        <v>113</v>
      </c>
      <c r="E101" s="1"/>
      <c r="F101" s="10">
        <v>2</v>
      </c>
      <c r="G101" s="1"/>
      <c r="H101" s="1"/>
      <c r="I101" s="1"/>
      <c r="J101" s="37" t="s">
        <v>124</v>
      </c>
      <c r="K101" s="37"/>
      <c r="L101" s="37"/>
    </row>
    <row r="102" spans="1:12" ht="43.05" customHeight="1">
      <c r="A102" s="1"/>
      <c r="B102" s="1"/>
      <c r="C102" s="1" t="s">
        <v>125</v>
      </c>
      <c r="D102" s="1" t="s">
        <v>54</v>
      </c>
      <c r="E102" s="1"/>
      <c r="F102" s="12">
        <v>0.5</v>
      </c>
      <c r="G102" s="1"/>
      <c r="H102" s="1"/>
      <c r="I102" s="1"/>
      <c r="J102" s="37" t="s">
        <v>126</v>
      </c>
      <c r="K102" s="37"/>
      <c r="L102" s="37"/>
    </row>
    <row r="103" spans="1:12" ht="43.05" customHeight="1">
      <c r="A103" s="1"/>
      <c r="B103" s="1"/>
      <c r="C103" s="1" t="s">
        <v>127</v>
      </c>
      <c r="D103" s="1" t="s">
        <v>11</v>
      </c>
      <c r="E103" s="1"/>
      <c r="F103" s="10">
        <v>25000000</v>
      </c>
      <c r="G103" s="1"/>
      <c r="H103" s="1"/>
      <c r="I103" s="1"/>
      <c r="J103" s="37" t="s">
        <v>128</v>
      </c>
      <c r="K103" s="37"/>
      <c r="L103" s="37"/>
    </row>
    <row r="104" spans="1:12" ht="43.05" customHeight="1">
      <c r="A104" s="1"/>
      <c r="B104" s="1"/>
      <c r="C104" s="1" t="s">
        <v>129</v>
      </c>
      <c r="D104" s="1" t="s">
        <v>113</v>
      </c>
      <c r="E104" s="1"/>
      <c r="F104" s="10">
        <v>36</v>
      </c>
      <c r="G104" s="1"/>
      <c r="H104" s="1"/>
      <c r="I104" s="1"/>
      <c r="J104" s="37" t="s">
        <v>130</v>
      </c>
      <c r="K104" s="37"/>
      <c r="L104" s="37"/>
    </row>
    <row r="105" spans="1:12" ht="43.05" customHeight="1">
      <c r="A105" s="1"/>
      <c r="B105" s="1"/>
      <c r="C105" s="1" t="s">
        <v>131</v>
      </c>
      <c r="D105" s="1" t="s">
        <v>11</v>
      </c>
      <c r="E105" s="1"/>
      <c r="F105" s="10">
        <v>300000000</v>
      </c>
      <c r="G105" s="1"/>
      <c r="H105" s="1"/>
      <c r="I105" s="1"/>
      <c r="J105" s="37" t="s">
        <v>132</v>
      </c>
      <c r="K105" s="37"/>
      <c r="L105" s="37"/>
    </row>
    <row r="106" spans="1:12" ht="43.05" customHeight="1">
      <c r="A106" s="1"/>
      <c r="B106" s="1"/>
      <c r="C106" s="1" t="s">
        <v>133</v>
      </c>
      <c r="D106" s="1" t="s">
        <v>11</v>
      </c>
      <c r="E106" s="1"/>
      <c r="F106" s="10">
        <v>30000000</v>
      </c>
      <c r="G106" s="1"/>
      <c r="H106" s="1"/>
      <c r="I106" s="1"/>
      <c r="J106" s="37" t="s">
        <v>134</v>
      </c>
      <c r="K106" s="37"/>
      <c r="L106" s="37"/>
    </row>
    <row r="107" spans="1:12" ht="43.05" customHeight="1">
      <c r="A107" s="1"/>
      <c r="B107" s="1"/>
      <c r="C107" s="1" t="s">
        <v>135</v>
      </c>
      <c r="D107" s="1" t="s">
        <v>54</v>
      </c>
      <c r="E107" s="1"/>
      <c r="F107" s="34">
        <v>0</v>
      </c>
      <c r="G107" s="1"/>
      <c r="H107" s="1"/>
      <c r="I107" s="1"/>
      <c r="J107" s="37" t="s">
        <v>136</v>
      </c>
      <c r="K107" s="37"/>
      <c r="L107" s="37"/>
    </row>
    <row r="108" spans="1:12" ht="43.05" customHeight="1">
      <c r="A108" s="1"/>
      <c r="B108" s="1"/>
      <c r="C108" s="1" t="s">
        <v>137</v>
      </c>
      <c r="D108" s="1" t="s">
        <v>11</v>
      </c>
      <c r="E108" s="1"/>
      <c r="F108" s="10">
        <v>15000000</v>
      </c>
      <c r="G108" s="10">
        <v>1500000</v>
      </c>
      <c r="H108" s="10">
        <v>1500000</v>
      </c>
      <c r="I108" s="1"/>
      <c r="J108" s="37" t="s">
        <v>138</v>
      </c>
      <c r="K108" s="37"/>
      <c r="L108" s="37"/>
    </row>
    <row r="109" spans="1:12" ht="43.05" customHeight="1">
      <c r="A109" s="1"/>
      <c r="B109" s="1"/>
      <c r="C109" s="1" t="s">
        <v>139</v>
      </c>
      <c r="D109" s="1" t="s">
        <v>11</v>
      </c>
      <c r="E109" s="1"/>
      <c r="F109" s="14">
        <f>SUM('05_100일검증'!F8:F17)</f>
        <v>10000000</v>
      </c>
      <c r="G109" s="1"/>
      <c r="H109" s="1"/>
      <c r="I109" s="1"/>
      <c r="J109" s="37" t="s">
        <v>140</v>
      </c>
      <c r="K109" s="37"/>
      <c r="L109" s="37"/>
    </row>
    <row r="110" spans="1:12" ht="43.05" customHeight="1">
      <c r="A110" s="1"/>
      <c r="B110" s="1"/>
      <c r="C110" s="1" t="s">
        <v>141</v>
      </c>
      <c r="D110" s="1" t="s">
        <v>63</v>
      </c>
      <c r="E110" s="1"/>
      <c r="F110" s="10">
        <v>1000000</v>
      </c>
      <c r="G110" s="1"/>
      <c r="H110" s="1"/>
      <c r="I110" s="1"/>
      <c r="J110" s="37" t="s">
        <v>142</v>
      </c>
      <c r="K110" s="37"/>
      <c r="L110" s="37"/>
    </row>
    <row r="111" spans="1:12" ht="43.05" customHeight="1">
      <c r="A111" s="1"/>
      <c r="B111" s="1"/>
      <c r="C111" s="1" t="s">
        <v>143</v>
      </c>
      <c r="D111" s="1" t="s">
        <v>54</v>
      </c>
      <c r="E111" s="1"/>
      <c r="F111" s="12">
        <v>0.2</v>
      </c>
      <c r="G111" s="1"/>
      <c r="H111" s="1"/>
      <c r="I111" s="1"/>
      <c r="J111" s="37" t="s">
        <v>144</v>
      </c>
      <c r="K111" s="37"/>
      <c r="L111" s="37"/>
    </row>
    <row r="112" spans="1:12" ht="43.05" customHeight="1">
      <c r="A112" s="1"/>
      <c r="B112" s="1"/>
      <c r="C112" s="1" t="s">
        <v>145</v>
      </c>
      <c r="D112" s="1" t="s">
        <v>54</v>
      </c>
      <c r="E112" s="1"/>
      <c r="F112" s="12">
        <v>0.3</v>
      </c>
      <c r="G112" s="1"/>
      <c r="H112" s="1"/>
      <c r="I112" s="1"/>
      <c r="J112" s="37" t="s">
        <v>146</v>
      </c>
      <c r="K112" s="37"/>
      <c r="L112" s="37"/>
    </row>
    <row r="113" spans="1:12" ht="43.05" customHeight="1">
      <c r="A113" s="1"/>
      <c r="B113" s="1"/>
      <c r="C113" s="1" t="s">
        <v>147</v>
      </c>
      <c r="D113" s="1" t="s">
        <v>54</v>
      </c>
      <c r="E113" s="1"/>
      <c r="F113" s="12">
        <v>0.1</v>
      </c>
      <c r="G113" s="1"/>
      <c r="H113" s="1"/>
      <c r="I113" s="1"/>
      <c r="J113" s="37" t="s">
        <v>148</v>
      </c>
      <c r="K113" s="37"/>
      <c r="L113" s="37"/>
    </row>
    <row r="114" spans="1:12" ht="43.05" customHeight="1">
      <c r="A114" s="1"/>
      <c r="B114" s="1"/>
      <c r="C114" s="1" t="s">
        <v>149</v>
      </c>
      <c r="D114" s="1" t="s">
        <v>150</v>
      </c>
      <c r="E114" s="1"/>
      <c r="F114" s="10">
        <v>3</v>
      </c>
      <c r="G114" s="1"/>
      <c r="H114" s="1"/>
      <c r="I114" s="1"/>
      <c r="J114" s="37" t="s">
        <v>151</v>
      </c>
      <c r="K114" s="37"/>
      <c r="L114" s="37"/>
    </row>
    <row r="115" spans="1:12" ht="43.05" customHeight="1">
      <c r="A115" s="1"/>
      <c r="B115" s="1"/>
      <c r="C115" s="1" t="s">
        <v>152</v>
      </c>
      <c r="D115" s="1" t="s">
        <v>11</v>
      </c>
      <c r="E115" s="1"/>
      <c r="F115" s="10">
        <v>20000</v>
      </c>
      <c r="G115" s="1"/>
      <c r="H115" s="1"/>
      <c r="I115" s="1"/>
      <c r="J115" s="37" t="s">
        <v>153</v>
      </c>
      <c r="K115" s="37"/>
      <c r="L115" s="37"/>
    </row>
    <row r="116" spans="1:12" ht="43.05" customHeight="1">
      <c r="A116" s="1"/>
      <c r="B116" s="1"/>
      <c r="C116" s="1" t="s">
        <v>154</v>
      </c>
      <c r="D116" s="1" t="s">
        <v>9</v>
      </c>
      <c r="E116" s="1"/>
      <c r="F116" s="10">
        <v>12</v>
      </c>
      <c r="G116" s="1"/>
      <c r="H116" s="1"/>
      <c r="I116" s="1"/>
      <c r="J116" s="37" t="s">
        <v>155</v>
      </c>
      <c r="K116" s="37"/>
      <c r="L116" s="37"/>
    </row>
    <row r="117" spans="1:12" ht="43.05" customHeight="1">
      <c r="A117" s="1"/>
      <c r="B117" s="1"/>
      <c r="C117" s="1" t="s">
        <v>156</v>
      </c>
      <c r="D117" s="1" t="s">
        <v>9</v>
      </c>
      <c r="E117" s="1"/>
      <c r="F117" s="10">
        <v>24</v>
      </c>
      <c r="G117" s="1"/>
      <c r="H117" s="1"/>
      <c r="I117" s="1"/>
      <c r="J117" s="37" t="s">
        <v>157</v>
      </c>
      <c r="K117" s="37"/>
      <c r="L117" s="37"/>
    </row>
    <row r="118" spans="1:12" ht="43.05" customHeight="1">
      <c r="A118" s="1"/>
      <c r="B118" s="1"/>
      <c r="C118" s="1" t="s">
        <v>158</v>
      </c>
      <c r="D118" s="1" t="s">
        <v>9</v>
      </c>
      <c r="E118" s="1"/>
      <c r="F118" s="10">
        <v>3</v>
      </c>
      <c r="G118" s="1"/>
      <c r="H118" s="1"/>
      <c r="I118" s="1"/>
      <c r="J118" s="37" t="s">
        <v>159</v>
      </c>
      <c r="K118" s="37"/>
      <c r="L118" s="37"/>
    </row>
    <row r="119" spans="1:12" ht="22.95" customHeight="1">
      <c r="A119" s="1"/>
      <c r="B119" s="1"/>
      <c r="C119" s="1"/>
      <c r="D119" s="1"/>
      <c r="E119" s="1"/>
      <c r="F119" s="1"/>
      <c r="G119" s="1"/>
      <c r="H119" s="1"/>
      <c r="I119" s="1"/>
      <c r="J119" s="1"/>
      <c r="K119" s="1"/>
      <c r="L119" s="1"/>
    </row>
    <row r="120" spans="1:12" ht="45" customHeight="1">
      <c r="A120" s="1"/>
      <c r="B120" s="1"/>
      <c r="C120" s="35" t="s">
        <v>160</v>
      </c>
      <c r="D120" s="35"/>
      <c r="E120" s="35"/>
      <c r="F120" s="35"/>
      <c r="G120" s="35"/>
      <c r="H120" s="35"/>
      <c r="I120" s="35"/>
      <c r="J120" s="35"/>
      <c r="K120" s="35"/>
      <c r="L120" s="35"/>
    </row>
    <row r="121" spans="1:12" ht="22.95" customHeight="1">
      <c r="A121" s="1"/>
      <c r="B121" s="1"/>
      <c r="C121" s="1"/>
      <c r="D121" s="1"/>
      <c r="E121" s="1"/>
      <c r="F121" s="1"/>
      <c r="G121" s="1"/>
      <c r="H121" s="1"/>
      <c r="I121" s="1"/>
      <c r="J121" s="1"/>
      <c r="K121" s="1"/>
      <c r="L121" s="1"/>
    </row>
    <row r="122" spans="1:12" ht="45" customHeight="1">
      <c r="A122" s="1"/>
      <c r="B122" s="1"/>
      <c r="C122" s="35" t="s">
        <v>161</v>
      </c>
      <c r="D122" s="35"/>
      <c r="E122" s="35"/>
      <c r="F122" s="35"/>
      <c r="G122" s="35"/>
      <c r="H122" s="35"/>
      <c r="I122" s="35"/>
      <c r="J122" s="35"/>
      <c r="K122" s="35"/>
      <c r="L122" s="35"/>
    </row>
    <row r="123" spans="1:12" ht="22.95" customHeight="1">
      <c r="A123" s="1"/>
      <c r="B123" s="1"/>
      <c r="C123" s="1"/>
      <c r="D123" s="1"/>
      <c r="E123" s="1"/>
      <c r="F123" s="1"/>
      <c r="G123" s="1"/>
      <c r="H123" s="1"/>
      <c r="I123" s="1"/>
      <c r="J123" s="1"/>
      <c r="K123" s="1"/>
      <c r="L123" s="1"/>
    </row>
    <row r="124" spans="1:12" ht="22.95" customHeight="1">
      <c r="A124" s="1"/>
      <c r="B124" s="1"/>
      <c r="C124" s="1"/>
      <c r="D124" s="1"/>
      <c r="E124" s="1"/>
      <c r="F124" s="1"/>
      <c r="G124" s="1"/>
      <c r="H124" s="1"/>
      <c r="I124" s="1"/>
      <c r="J124" s="1"/>
      <c r="K124" s="1"/>
      <c r="L124" s="1"/>
    </row>
    <row r="125" spans="1:12" ht="22.95" customHeight="1">
      <c r="A125" s="1"/>
      <c r="B125" s="1"/>
      <c r="C125" s="1"/>
      <c r="D125" s="1"/>
      <c r="E125" s="1"/>
      <c r="F125" s="1"/>
      <c r="G125" s="1"/>
      <c r="H125" s="1"/>
      <c r="I125" s="1"/>
      <c r="J125" s="1"/>
      <c r="K125" s="1"/>
      <c r="L125" s="1"/>
    </row>
  </sheetData>
  <mergeCells count="55">
    <mergeCell ref="J115:L115"/>
    <mergeCell ref="J116:L116"/>
    <mergeCell ref="J117:L117"/>
    <mergeCell ref="J118:L118"/>
    <mergeCell ref="J110:L110"/>
    <mergeCell ref="J111:L111"/>
    <mergeCell ref="J112:L112"/>
    <mergeCell ref="J113:L113"/>
    <mergeCell ref="J114:L114"/>
    <mergeCell ref="J105:L105"/>
    <mergeCell ref="J106:L106"/>
    <mergeCell ref="J107:L107"/>
    <mergeCell ref="J108:L108"/>
    <mergeCell ref="J109:L109"/>
    <mergeCell ref="J100:L100"/>
    <mergeCell ref="J101:L101"/>
    <mergeCell ref="J102:L102"/>
    <mergeCell ref="J103:L103"/>
    <mergeCell ref="J104:L104"/>
    <mergeCell ref="J95:L95"/>
    <mergeCell ref="J96:L96"/>
    <mergeCell ref="J97:L97"/>
    <mergeCell ref="J98:L98"/>
    <mergeCell ref="J99:L99"/>
    <mergeCell ref="J66:L69"/>
    <mergeCell ref="J70:L73"/>
    <mergeCell ref="J74:L77"/>
    <mergeCell ref="C120:L120"/>
    <mergeCell ref="C122:L122"/>
    <mergeCell ref="C83:L84"/>
    <mergeCell ref="J85:L85"/>
    <mergeCell ref="J86:L86"/>
    <mergeCell ref="J87:L87"/>
    <mergeCell ref="J88:L88"/>
    <mergeCell ref="J89:L89"/>
    <mergeCell ref="J90:L90"/>
    <mergeCell ref="J91:L91"/>
    <mergeCell ref="J92:L92"/>
    <mergeCell ref="J93:L93"/>
    <mergeCell ref="J94:L94"/>
    <mergeCell ref="J46:L49"/>
    <mergeCell ref="J50:L53"/>
    <mergeCell ref="J54:L57"/>
    <mergeCell ref="J58:L61"/>
    <mergeCell ref="J62:L65"/>
    <mergeCell ref="J26:L29"/>
    <mergeCell ref="J30:L33"/>
    <mergeCell ref="J34:L37"/>
    <mergeCell ref="J38:L41"/>
    <mergeCell ref="J42:L45"/>
    <mergeCell ref="C6:L6"/>
    <mergeCell ref="J10:L13"/>
    <mergeCell ref="J14:L17"/>
    <mergeCell ref="J18:L21"/>
    <mergeCell ref="J22:L25"/>
  </mergeCells>
  <phoneticPr fontId="24" type="noConversion"/>
  <dataValidations count="3">
    <dataValidation type="list" sqref="F4">
      <formula1>"1,2,3"</formula1>
    </dataValidation>
    <dataValidation type="list" sqref="F95">
      <formula1>"0,1"</formula1>
    </dataValidation>
    <dataValidation type="whole" sqref="F101">
      <formula1>0</formula1>
      <formula2>36</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L65"/>
  <sheetViews>
    <sheetView showGridLines="0" topLeftCell="A15" workbookViewId="0">
      <selection activeCell="K21" sqref="K21"/>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162</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t="s">
        <v>1</v>
      </c>
      <c r="D4" s="1"/>
      <c r="E4" s="1"/>
      <c r="F4" s="31" t="str">
        <f>'01_가정'!H4</f>
        <v>보수</v>
      </c>
      <c r="G4" s="1"/>
      <c r="H4" s="1"/>
      <c r="I4" s="1"/>
      <c r="J4" s="1"/>
      <c r="K4" s="1"/>
      <c r="L4" s="1"/>
    </row>
    <row r="5" spans="1:12" ht="22.95" customHeight="1">
      <c r="A5" s="1"/>
      <c r="B5" s="1"/>
      <c r="C5" s="1"/>
      <c r="D5" s="1"/>
      <c r="E5" s="1"/>
      <c r="F5" s="1"/>
      <c r="G5" s="1"/>
      <c r="H5" s="1"/>
      <c r="I5" s="1"/>
      <c r="J5" s="1"/>
      <c r="K5" s="1"/>
      <c r="L5" s="1"/>
    </row>
    <row r="6" spans="1:12" ht="30" customHeight="1">
      <c r="A6" s="1"/>
      <c r="B6" s="1"/>
      <c r="C6" s="7" t="s">
        <v>163</v>
      </c>
      <c r="D6" s="7" t="s">
        <v>4</v>
      </c>
      <c r="E6" s="7"/>
      <c r="F6" s="7" t="s">
        <v>5</v>
      </c>
      <c r="G6" s="7" t="s">
        <v>6</v>
      </c>
      <c r="H6" s="7" t="s">
        <v>7</v>
      </c>
      <c r="I6" s="1"/>
      <c r="J6" s="1"/>
      <c r="K6" s="1"/>
      <c r="L6" s="1"/>
    </row>
    <row r="7" spans="1:12" ht="22.95" customHeight="1">
      <c r="A7" s="1"/>
      <c r="B7" s="1"/>
      <c r="C7" s="8" t="s">
        <v>164</v>
      </c>
      <c r="D7" s="8"/>
      <c r="E7" s="8"/>
      <c r="F7" s="8"/>
      <c r="G7" s="8"/>
      <c r="H7" s="8"/>
      <c r="I7" s="1"/>
      <c r="J7" s="1"/>
      <c r="K7" s="1"/>
      <c r="L7" s="1"/>
    </row>
    <row r="8" spans="1:12" ht="22.95" customHeight="1">
      <c r="A8" s="1"/>
      <c r="B8" s="1"/>
      <c r="C8" s="1" t="s">
        <v>165</v>
      </c>
      <c r="D8" s="1" t="s">
        <v>11</v>
      </c>
      <c r="E8" s="1"/>
      <c r="F8" s="17">
        <f>'01_가정'!F10</f>
        <v>129000</v>
      </c>
      <c r="G8" s="17">
        <f>'01_가정'!G10</f>
        <v>129000</v>
      </c>
      <c r="H8" s="17">
        <f>'01_가정'!H10</f>
        <v>129000</v>
      </c>
      <c r="I8" s="1"/>
      <c r="J8" s="1"/>
      <c r="K8" s="1"/>
      <c r="L8" s="1"/>
    </row>
    <row r="9" spans="1:12" ht="22.95" customHeight="1">
      <c r="A9" s="1"/>
      <c r="B9" s="1"/>
      <c r="C9" s="1" t="s">
        <v>166</v>
      </c>
      <c r="D9" s="1" t="s">
        <v>11</v>
      </c>
      <c r="E9" s="1"/>
      <c r="F9" s="17">
        <f>F8/(1+'01_가정'!$F$85)</f>
        <v>117272.72727272726</v>
      </c>
      <c r="G9" s="17">
        <f>G8/(1+'01_가정'!$F$85)</f>
        <v>117272.72727272726</v>
      </c>
      <c r="H9" s="17">
        <f>H8/(1+'01_가정'!$F$85)</f>
        <v>117272.72727272726</v>
      </c>
      <c r="I9" s="1"/>
      <c r="J9" s="1"/>
      <c r="K9" s="1"/>
      <c r="L9" s="1"/>
    </row>
    <row r="10" spans="1:12" ht="22.95" customHeight="1">
      <c r="A10" s="1"/>
      <c r="B10" s="1"/>
      <c r="C10" s="1" t="s">
        <v>167</v>
      </c>
      <c r="D10" s="1" t="s">
        <v>54</v>
      </c>
      <c r="E10" s="1"/>
      <c r="F10" s="18">
        <f>1-'01_가정'!F26</f>
        <v>0.85</v>
      </c>
      <c r="G10" s="18">
        <f>1-'01_가정'!G26</f>
        <v>0.88</v>
      </c>
      <c r="H10" s="18">
        <f>1-'01_가정'!H26</f>
        <v>0.9</v>
      </c>
      <c r="I10" s="1"/>
      <c r="J10" s="1"/>
      <c r="K10" s="1"/>
      <c r="L10" s="1"/>
    </row>
    <row r="11" spans="1:12" ht="22.95" customHeight="1">
      <c r="A11" s="1"/>
      <c r="B11" s="1"/>
      <c r="C11" s="1" t="s">
        <v>168</v>
      </c>
      <c r="D11" s="1" t="s">
        <v>11</v>
      </c>
      <c r="E11" s="1"/>
      <c r="F11" s="19">
        <f>F9*F10</f>
        <v>99681.818181818177</v>
      </c>
      <c r="G11" s="19">
        <f>G9*G10</f>
        <v>103200</v>
      </c>
      <c r="H11" s="19">
        <f>H9*H10</f>
        <v>105545.45454545454</v>
      </c>
      <c r="I11" s="1"/>
      <c r="J11" s="1"/>
      <c r="K11" s="1"/>
      <c r="L11" s="1"/>
    </row>
    <row r="12" spans="1:12" ht="22.95" customHeight="1">
      <c r="A12" s="1"/>
      <c r="B12" s="1"/>
      <c r="C12" s="1" t="s">
        <v>169</v>
      </c>
      <c r="D12" s="1" t="s">
        <v>11</v>
      </c>
      <c r="E12" s="1"/>
      <c r="F12" s="17">
        <f>'01_가정'!F14</f>
        <v>70000</v>
      </c>
      <c r="G12" s="17">
        <f>'01_가정'!G14</f>
        <v>65000</v>
      </c>
      <c r="H12" s="17">
        <f>'01_가정'!H14</f>
        <v>60000</v>
      </c>
      <c r="I12" s="1"/>
      <c r="J12" s="1"/>
      <c r="K12" s="1"/>
      <c r="L12" s="1"/>
    </row>
    <row r="13" spans="1:12" ht="22.95" customHeight="1">
      <c r="A13" s="1"/>
      <c r="B13" s="1"/>
      <c r="C13" s="1" t="s">
        <v>170</v>
      </c>
      <c r="D13" s="1" t="s">
        <v>11</v>
      </c>
      <c r="E13" s="1"/>
      <c r="F13" s="17">
        <f>F11*'01_가정'!$F$86</f>
        <v>3289.5</v>
      </c>
      <c r="G13" s="17">
        <f>G11*'01_가정'!$F$86</f>
        <v>3405.6000000000004</v>
      </c>
      <c r="H13" s="17">
        <f>H11*'01_가정'!$F$86</f>
        <v>3483</v>
      </c>
      <c r="I13" s="1"/>
      <c r="J13" s="1"/>
      <c r="K13" s="1"/>
      <c r="L13" s="1"/>
    </row>
    <row r="14" spans="1:12" ht="22.95" customHeight="1">
      <c r="A14" s="1"/>
      <c r="B14" s="1"/>
      <c r="C14" s="1" t="s">
        <v>171</v>
      </c>
      <c r="D14" s="1" t="s">
        <v>11</v>
      </c>
      <c r="E14" s="1"/>
      <c r="F14" s="17">
        <f>'01_가정'!$F$87</f>
        <v>4500</v>
      </c>
      <c r="G14" s="17">
        <f>'01_가정'!$F$87</f>
        <v>4500</v>
      </c>
      <c r="H14" s="17">
        <f>'01_가정'!$F$87</f>
        <v>4500</v>
      </c>
      <c r="I14" s="1"/>
      <c r="J14" s="1"/>
      <c r="K14" s="1"/>
      <c r="L14" s="1"/>
    </row>
    <row r="15" spans="1:12" ht="22.95" customHeight="1">
      <c r="A15" s="1"/>
      <c r="B15" s="1"/>
      <c r="C15" s="1" t="s">
        <v>172</v>
      </c>
      <c r="D15" s="1" t="s">
        <v>11</v>
      </c>
      <c r="E15" s="1"/>
      <c r="F15" s="17">
        <f>(1-F10)*'01_가정'!$F$88</f>
        <v>900.00000000000011</v>
      </c>
      <c r="G15" s="17">
        <f>(1-G10)*'01_가정'!$F$88</f>
        <v>720</v>
      </c>
      <c r="H15" s="17">
        <f>(1-H10)*'01_가정'!$F$88</f>
        <v>599.99999999999989</v>
      </c>
      <c r="I15" s="1"/>
      <c r="J15" s="1"/>
      <c r="K15" s="1"/>
      <c r="L15" s="1"/>
    </row>
    <row r="16" spans="1:12" ht="22.95" customHeight="1">
      <c r="A16" s="1"/>
      <c r="B16" s="1"/>
      <c r="C16" s="1" t="s">
        <v>173</v>
      </c>
      <c r="D16" s="1" t="s">
        <v>11</v>
      </c>
      <c r="E16" s="1"/>
      <c r="F16" s="17">
        <f>'01_가정'!$F$89</f>
        <v>2000</v>
      </c>
      <c r="G16" s="17">
        <f>'01_가정'!$F$89</f>
        <v>2000</v>
      </c>
      <c r="H16" s="17">
        <f>'01_가정'!$F$89</f>
        <v>2000</v>
      </c>
      <c r="I16" s="1"/>
      <c r="J16" s="1"/>
      <c r="K16" s="1"/>
      <c r="L16" s="1"/>
    </row>
    <row r="17" spans="1:12" ht="22.95" customHeight="1">
      <c r="A17" s="1"/>
      <c r="B17" s="1"/>
      <c r="C17" s="1" t="s">
        <v>174</v>
      </c>
      <c r="D17" s="1" t="s">
        <v>11</v>
      </c>
      <c r="E17" s="1"/>
      <c r="F17" s="17">
        <f>'01_가정'!$F$90</f>
        <v>1000</v>
      </c>
      <c r="G17" s="17">
        <f>'01_가정'!$F$90</f>
        <v>1000</v>
      </c>
      <c r="H17" s="17">
        <f>'01_가정'!$F$90</f>
        <v>1000</v>
      </c>
      <c r="I17" s="1"/>
      <c r="J17" s="1"/>
      <c r="K17" s="1"/>
      <c r="L17" s="1"/>
    </row>
    <row r="18" spans="1:12" ht="22.95" customHeight="1">
      <c r="A18" s="1"/>
      <c r="B18" s="1"/>
      <c r="C18" s="8" t="s">
        <v>175</v>
      </c>
      <c r="D18" s="8" t="s">
        <v>11</v>
      </c>
      <c r="E18" s="8"/>
      <c r="F18" s="9">
        <f>F11-SUM(F12:F17)</f>
        <v>17992.318181818177</v>
      </c>
      <c r="G18" s="9">
        <f>G11-SUM(G12:G17)</f>
        <v>26574.399999999994</v>
      </c>
      <c r="H18" s="9">
        <f>H11-SUM(H12:H17)</f>
        <v>33962.454545454544</v>
      </c>
      <c r="I18" s="1"/>
      <c r="J18" s="1"/>
      <c r="K18" s="1"/>
      <c r="L18" s="1"/>
    </row>
    <row r="19" spans="1:12" ht="22.95" customHeight="1">
      <c r="A19" s="1"/>
      <c r="B19" s="1"/>
      <c r="C19" s="1" t="s">
        <v>176</v>
      </c>
      <c r="D19" s="1" t="s">
        <v>11</v>
      </c>
      <c r="E19" s="1"/>
      <c r="F19" s="17">
        <f>IF('01_가정'!F22&gt;0,'01_가정'!F18/'01_가정'!F22,"n.a.")</f>
        <v>80000</v>
      </c>
      <c r="G19" s="17">
        <f>IF('01_가정'!G22&gt;0,'01_가정'!G18/'01_가정'!G22,"n.a.")</f>
        <v>61111.111111111117</v>
      </c>
      <c r="H19" s="17">
        <f>IF('01_가정'!H22&gt;0,'01_가정'!H18/'01_가정'!H22,"n.a.")</f>
        <v>50000</v>
      </c>
      <c r="I19" s="1"/>
      <c r="J19" s="1"/>
      <c r="K19" s="1"/>
      <c r="L19" s="1"/>
    </row>
    <row r="20" spans="1:12" ht="22.95" customHeight="1">
      <c r="A20" s="1"/>
      <c r="B20" s="1"/>
      <c r="C20" s="8" t="s">
        <v>177</v>
      </c>
      <c r="D20" s="8" t="s">
        <v>11</v>
      </c>
      <c r="E20" s="8"/>
      <c r="F20" s="9">
        <f>IF(ISNUMBER(F19),F18-F19,"n.a.")</f>
        <v>-62007.681818181823</v>
      </c>
      <c r="G20" s="9">
        <f>IF(ISNUMBER(G19),G18-G19,"n.a.")</f>
        <v>-34536.711111111123</v>
      </c>
      <c r="H20" s="9">
        <f>IF(ISNUMBER(H19),H18-H19,"n.a.")</f>
        <v>-16037.545454545456</v>
      </c>
      <c r="I20" s="1"/>
      <c r="J20" s="1"/>
      <c r="K20" s="1"/>
      <c r="L20" s="1"/>
    </row>
    <row r="21" spans="1:12" ht="22.95" customHeight="1">
      <c r="A21" s="1"/>
      <c r="B21" s="1"/>
      <c r="C21" s="1" t="s">
        <v>178</v>
      </c>
      <c r="D21" s="1" t="s">
        <v>54</v>
      </c>
      <c r="E21" s="1"/>
      <c r="F21" s="20">
        <f>IF(AND(ISNUMBER(F20),F11&gt;0),F20/F11,"n.a.")</f>
        <v>-0.62205608755129971</v>
      </c>
      <c r="G21" s="20">
        <f>IF(AND(ISNUMBER(G20),G11&gt;0),G20/G11,"n.a.")</f>
        <v>-0.33465805340223959</v>
      </c>
      <c r="H21" s="20">
        <f>IF(AND(ISNUMBER(H20),H11&gt;0),H20/H11,"n.a.")</f>
        <v>-0.15194918173987942</v>
      </c>
      <c r="I21" s="1"/>
      <c r="J21" s="1"/>
      <c r="K21" s="1"/>
      <c r="L21" s="1"/>
    </row>
    <row r="22" spans="1:12" ht="22.95" customHeight="1">
      <c r="A22" s="1"/>
      <c r="B22" s="1"/>
      <c r="C22" s="1" t="s">
        <v>179</v>
      </c>
      <c r="D22" s="1" t="s">
        <v>11</v>
      </c>
      <c r="E22" s="1"/>
      <c r="F22" s="17">
        <f>'01_가정'!$F$115</f>
        <v>20000</v>
      </c>
      <c r="G22" s="17">
        <f>'01_가정'!$F$115</f>
        <v>20000</v>
      </c>
      <c r="H22" s="17">
        <f>'01_가정'!$F$115</f>
        <v>20000</v>
      </c>
      <c r="I22" s="1"/>
      <c r="J22" s="1"/>
      <c r="K22" s="1"/>
      <c r="L22" s="1"/>
    </row>
    <row r="23" spans="1:12" ht="22.95" customHeight="1">
      <c r="A23" s="1"/>
      <c r="B23" s="1"/>
      <c r="C23" s="8" t="s">
        <v>180</v>
      </c>
      <c r="D23" s="8" t="s">
        <v>11</v>
      </c>
      <c r="E23" s="8"/>
      <c r="F23" s="9">
        <f>F18-F22</f>
        <v>-2007.6818181818235</v>
      </c>
      <c r="G23" s="9">
        <f>G18-G22</f>
        <v>6574.3999999999942</v>
      </c>
      <c r="H23" s="9">
        <f>H18-H22</f>
        <v>13962.454545454544</v>
      </c>
      <c r="I23" s="1"/>
      <c r="J23" s="1"/>
      <c r="K23" s="1"/>
      <c r="L23" s="1"/>
    </row>
    <row r="24" spans="1:12" ht="22.95" customHeight="1">
      <c r="A24" s="1"/>
      <c r="B24" s="1"/>
      <c r="C24" s="1" t="s">
        <v>181</v>
      </c>
      <c r="D24" s="1" t="s">
        <v>54</v>
      </c>
      <c r="E24" s="1"/>
      <c r="F24" s="18" t="str">
        <f>IF(F23&gt;0,'01_가정'!F18/F23,"n.a.")</f>
        <v>n.a.</v>
      </c>
      <c r="G24" s="18">
        <f>IF(G23&gt;0,'01_가정'!G18/G23,"n.a.")</f>
        <v>0.16731564857629608</v>
      </c>
      <c r="H24" s="18">
        <f>IF(H23&gt;0,'01_가정'!H18/H23,"n.a.")</f>
        <v>7.1620644976462852E-2</v>
      </c>
      <c r="I24" s="1"/>
      <c r="J24" s="1"/>
      <c r="K24" s="1"/>
      <c r="L24" s="1"/>
    </row>
    <row r="25" spans="1:12" ht="22.95" customHeight="1">
      <c r="A25" s="1"/>
      <c r="B25" s="1"/>
      <c r="C25" s="1" t="s">
        <v>182</v>
      </c>
      <c r="D25" s="1" t="s">
        <v>11</v>
      </c>
      <c r="E25" s="1"/>
      <c r="F25" s="17">
        <f>'01_가정'!F58*'01_가정'!F62+'01_가정'!F66</f>
        <v>15500000</v>
      </c>
      <c r="G25" s="17">
        <f>'01_가정'!G58*'01_가정'!G62+'01_가정'!G66</f>
        <v>16600000</v>
      </c>
      <c r="H25" s="17">
        <f>'01_가정'!H58*'01_가정'!H62+'01_가정'!H66</f>
        <v>18000000</v>
      </c>
      <c r="I25" s="1"/>
      <c r="J25" s="1"/>
      <c r="K25" s="1"/>
      <c r="L25" s="1"/>
    </row>
    <row r="26" spans="1:12" ht="22.95" customHeight="1">
      <c r="A26" s="1"/>
      <c r="B26" s="1"/>
      <c r="C26" s="8" t="s">
        <v>183</v>
      </c>
      <c r="D26" s="8" t="s">
        <v>9</v>
      </c>
      <c r="E26" s="8"/>
      <c r="F26" s="9" t="str">
        <f>IF(AND(ISNUMBER(F20),F20&gt;0),ROUNDUP(F25/F20,0),"n.a.")</f>
        <v>n.a.</v>
      </c>
      <c r="G26" s="9" t="str">
        <f>IF(AND(ISNUMBER(G20),G20&gt;0),ROUNDUP(G25/G20,0),"n.a.")</f>
        <v>n.a.</v>
      </c>
      <c r="H26" s="9" t="str">
        <f>IF(AND(ISNUMBER(H20),H20&gt;0),ROUNDUP(H25/H20,0),"n.a.")</f>
        <v>n.a.</v>
      </c>
      <c r="I26" s="1"/>
      <c r="J26" s="1"/>
      <c r="K26" s="1"/>
      <c r="L26" s="1"/>
    </row>
    <row r="27" spans="1:12" ht="22.95" customHeight="1">
      <c r="A27" s="1"/>
      <c r="B27" s="1"/>
      <c r="C27" s="1"/>
      <c r="D27" s="1"/>
      <c r="E27" s="1"/>
      <c r="F27" s="1"/>
      <c r="G27" s="1"/>
      <c r="H27" s="1"/>
      <c r="I27" s="1"/>
      <c r="J27" s="1"/>
      <c r="K27" s="1"/>
      <c r="L27" s="1"/>
    </row>
    <row r="28" spans="1:12" ht="22.95" customHeight="1">
      <c r="A28" s="1"/>
      <c r="B28" s="1"/>
      <c r="C28" s="1"/>
      <c r="D28" s="1"/>
      <c r="E28" s="1"/>
      <c r="F28" s="1"/>
      <c r="G28" s="1"/>
      <c r="H28" s="1"/>
      <c r="I28" s="1"/>
      <c r="J28" s="1"/>
      <c r="K28" s="1"/>
      <c r="L28" s="1"/>
    </row>
    <row r="29" spans="1:12" ht="22.95" customHeight="1">
      <c r="A29" s="1"/>
      <c r="B29" s="1"/>
      <c r="C29" s="8" t="s">
        <v>184</v>
      </c>
      <c r="D29" s="8"/>
      <c r="E29" s="8"/>
      <c r="F29" s="8"/>
      <c r="G29" s="8"/>
      <c r="H29" s="8"/>
      <c r="I29" s="1"/>
      <c r="J29" s="1"/>
      <c r="K29" s="1"/>
      <c r="L29" s="1"/>
    </row>
    <row r="30" spans="1:12" ht="22.95" customHeight="1">
      <c r="A30" s="1"/>
      <c r="B30" s="1"/>
      <c r="C30" s="1" t="s">
        <v>185</v>
      </c>
      <c r="D30" s="1" t="s">
        <v>11</v>
      </c>
      <c r="E30" s="1"/>
      <c r="F30" s="17">
        <f>'01_가정'!F10/(1+'01_가정'!$F$85)*'01_가정'!F54</f>
        <v>64500</v>
      </c>
      <c r="G30" s="17">
        <f>'01_가정'!G10/(1+'01_가정'!$F$85)*'01_가정'!G54</f>
        <v>64500</v>
      </c>
      <c r="H30" s="17">
        <f>'01_가정'!H10/(1+'01_가정'!$F$85)*'01_가정'!H54</f>
        <v>64500</v>
      </c>
      <c r="I30" s="1"/>
      <c r="J30" s="1"/>
      <c r="K30" s="1"/>
      <c r="L30" s="1"/>
    </row>
    <row r="31" spans="1:12" ht="22.95" customHeight="1">
      <c r="A31" s="1"/>
      <c r="B31" s="1"/>
      <c r="C31" s="1" t="s">
        <v>186</v>
      </c>
      <c r="D31" s="1" t="s">
        <v>54</v>
      </c>
      <c r="E31" s="1"/>
      <c r="F31" s="18">
        <f>1-'01_가정'!$F$98</f>
        <v>0.97</v>
      </c>
      <c r="G31" s="18">
        <f>1-'01_가정'!$F$98</f>
        <v>0.97</v>
      </c>
      <c r="H31" s="18">
        <f>1-'01_가정'!$F$98</f>
        <v>0.97</v>
      </c>
      <c r="I31" s="1"/>
      <c r="J31" s="1"/>
      <c r="K31" s="1"/>
      <c r="L31" s="1"/>
    </row>
    <row r="32" spans="1:12" ht="22.95" customHeight="1">
      <c r="A32" s="1"/>
      <c r="B32" s="1"/>
      <c r="C32" s="1" t="s">
        <v>187</v>
      </c>
      <c r="D32" s="1" t="s">
        <v>11</v>
      </c>
      <c r="E32" s="1"/>
      <c r="F32" s="19">
        <f>F30*F31</f>
        <v>62565</v>
      </c>
      <c r="G32" s="19">
        <f>G30*G31</f>
        <v>62565</v>
      </c>
      <c r="H32" s="19">
        <f>H30*H31</f>
        <v>62565</v>
      </c>
      <c r="I32" s="1"/>
      <c r="J32" s="1"/>
      <c r="K32" s="1"/>
      <c r="L32" s="1"/>
    </row>
    <row r="33" spans="1:12" ht="22.95" customHeight="1">
      <c r="A33" s="1"/>
      <c r="B33" s="1"/>
      <c r="C33" s="1" t="s">
        <v>188</v>
      </c>
      <c r="D33" s="1" t="s">
        <v>11</v>
      </c>
      <c r="E33" s="1"/>
      <c r="F33" s="17">
        <f>'01_가정'!F14</f>
        <v>70000</v>
      </c>
      <c r="G33" s="17">
        <f>'01_가정'!G14</f>
        <v>65000</v>
      </c>
      <c r="H33" s="17">
        <f>'01_가정'!H14</f>
        <v>60000</v>
      </c>
      <c r="I33" s="1"/>
      <c r="J33" s="1"/>
      <c r="K33" s="1"/>
      <c r="L33" s="1"/>
    </row>
    <row r="34" spans="1:12" ht="22.95" customHeight="1">
      <c r="A34" s="1"/>
      <c r="B34" s="1"/>
      <c r="C34" s="1" t="s">
        <v>189</v>
      </c>
      <c r="D34" s="1" t="s">
        <v>11</v>
      </c>
      <c r="E34" s="1"/>
      <c r="F34" s="17">
        <f>'01_가정'!$F$97</f>
        <v>2000</v>
      </c>
      <c r="G34" s="17">
        <f>'01_가정'!$F$97</f>
        <v>2000</v>
      </c>
      <c r="H34" s="17">
        <f>'01_가정'!$F$97</f>
        <v>2000</v>
      </c>
      <c r="I34" s="1"/>
      <c r="J34" s="1"/>
      <c r="K34" s="1"/>
      <c r="L34" s="1"/>
    </row>
    <row r="35" spans="1:12" ht="22.95" customHeight="1">
      <c r="A35" s="1"/>
      <c r="B35" s="1"/>
      <c r="C35" s="1" t="s">
        <v>190</v>
      </c>
      <c r="D35" s="1" t="s">
        <v>11</v>
      </c>
      <c r="E35" s="1"/>
      <c r="F35" s="17">
        <f>(1-F31)*'01_가정'!$F$88</f>
        <v>180.00000000000017</v>
      </c>
      <c r="G35" s="17">
        <f>(1-G31)*'01_가정'!$F$88</f>
        <v>180.00000000000017</v>
      </c>
      <c r="H35" s="17">
        <f>(1-H31)*'01_가정'!$F$88</f>
        <v>180.00000000000017</v>
      </c>
      <c r="I35" s="1"/>
      <c r="J35" s="1"/>
      <c r="K35" s="1"/>
      <c r="L35" s="1"/>
    </row>
    <row r="36" spans="1:12" ht="22.95" customHeight="1">
      <c r="A36" s="1"/>
      <c r="B36" s="1"/>
      <c r="C36" s="1" t="s">
        <v>191</v>
      </c>
      <c r="D36" s="1" t="s">
        <v>11</v>
      </c>
      <c r="E36" s="1"/>
      <c r="F36" s="17">
        <f>'01_가정'!$F$89</f>
        <v>2000</v>
      </c>
      <c r="G36" s="17">
        <f>'01_가정'!$F$89</f>
        <v>2000</v>
      </c>
      <c r="H36" s="17">
        <f>'01_가정'!$F$89</f>
        <v>2000</v>
      </c>
      <c r="I36" s="1"/>
      <c r="J36" s="1"/>
      <c r="K36" s="1"/>
      <c r="L36" s="1"/>
    </row>
    <row r="37" spans="1:12" ht="22.95" customHeight="1">
      <c r="A37" s="1"/>
      <c r="B37" s="1"/>
      <c r="C37" s="1" t="s">
        <v>192</v>
      </c>
      <c r="D37" s="1" t="s">
        <v>11</v>
      </c>
      <c r="E37" s="1"/>
      <c r="F37" s="17">
        <f>'01_가정'!$F$90</f>
        <v>1000</v>
      </c>
      <c r="G37" s="17">
        <f>'01_가정'!$F$90</f>
        <v>1000</v>
      </c>
      <c r="H37" s="17">
        <f>'01_가정'!$F$90</f>
        <v>1000</v>
      </c>
      <c r="I37" s="1"/>
      <c r="J37" s="1"/>
      <c r="K37" s="1"/>
      <c r="L37" s="1"/>
    </row>
    <row r="38" spans="1:12" ht="22.95" customHeight="1">
      <c r="A38" s="1"/>
      <c r="B38" s="1"/>
      <c r="C38" s="8" t="s">
        <v>193</v>
      </c>
      <c r="D38" s="8" t="s">
        <v>11</v>
      </c>
      <c r="E38" s="8"/>
      <c r="F38" s="9">
        <f>F32-SUM(F33:F37)</f>
        <v>-12615</v>
      </c>
      <c r="G38" s="9">
        <f>G32-SUM(G33:G37)</f>
        <v>-7615</v>
      </c>
      <c r="H38" s="9">
        <f>H32-SUM(H33:H37)</f>
        <v>-2615</v>
      </c>
      <c r="I38" s="1"/>
      <c r="J38" s="1"/>
      <c r="K38" s="1"/>
      <c r="L38" s="1"/>
    </row>
    <row r="39" spans="1:12" ht="22.95" customHeight="1">
      <c r="A39" s="1"/>
      <c r="B39" s="1"/>
      <c r="C39" s="1"/>
      <c r="D39" s="1"/>
      <c r="E39" s="1"/>
      <c r="F39" s="1"/>
      <c r="G39" s="1"/>
      <c r="H39" s="1"/>
      <c r="I39" s="1"/>
      <c r="J39" s="1"/>
      <c r="K39" s="1"/>
      <c r="L39" s="1"/>
    </row>
    <row r="40" spans="1:12" ht="22.95" customHeight="1">
      <c r="A40" s="1"/>
      <c r="B40" s="1"/>
      <c r="C40" s="1"/>
      <c r="D40" s="1"/>
      <c r="E40" s="1"/>
      <c r="F40" s="1"/>
      <c r="G40" s="1"/>
      <c r="H40" s="1"/>
      <c r="I40" s="1"/>
      <c r="J40" s="1"/>
      <c r="K40" s="1"/>
      <c r="L40" s="1"/>
    </row>
    <row r="41" spans="1:12" ht="22.95" customHeight="1">
      <c r="A41" s="1"/>
      <c r="B41" s="1"/>
      <c r="C41" s="1"/>
      <c r="D41" s="1"/>
      <c r="E41" s="1"/>
      <c r="F41" s="1"/>
      <c r="G41" s="1"/>
      <c r="H41" s="1"/>
      <c r="I41" s="1"/>
      <c r="J41" s="1"/>
      <c r="K41" s="1"/>
      <c r="L41" s="1"/>
    </row>
    <row r="42" spans="1:12" ht="22.95" customHeight="1">
      <c r="A42" s="1"/>
      <c r="B42" s="1"/>
      <c r="C42" s="8" t="s">
        <v>194</v>
      </c>
      <c r="D42" s="8"/>
      <c r="E42" s="8"/>
      <c r="F42" s="8"/>
      <c r="G42" s="8"/>
      <c r="H42" s="8"/>
      <c r="I42" s="1"/>
      <c r="J42" s="1"/>
      <c r="K42" s="1"/>
      <c r="L42" s="1"/>
    </row>
    <row r="43" spans="1:12" ht="22.95" customHeight="1">
      <c r="A43" s="1"/>
      <c r="B43" s="1"/>
      <c r="C43" s="1" t="s">
        <v>79</v>
      </c>
      <c r="D43" s="1" t="s">
        <v>11</v>
      </c>
      <c r="E43" s="1"/>
      <c r="F43" s="17">
        <f>'01_가정'!F70</f>
        <v>9900</v>
      </c>
      <c r="G43" s="17">
        <f>'01_가정'!G70</f>
        <v>9900</v>
      </c>
      <c r="H43" s="17">
        <f>'01_가정'!H70</f>
        <v>9900</v>
      </c>
      <c r="I43" s="1"/>
      <c r="J43" s="1"/>
      <c r="K43" s="1"/>
      <c r="L43" s="1"/>
    </row>
    <row r="44" spans="1:12" ht="22.95" customHeight="1">
      <c r="A44" s="1"/>
      <c r="B44" s="1"/>
      <c r="C44" s="1" t="s">
        <v>195</v>
      </c>
      <c r="D44" s="1" t="s">
        <v>11</v>
      </c>
      <c r="E44" s="1"/>
      <c r="F44" s="17">
        <f>F43/(1+'01_가정'!$F$85)*(1-'01_가정'!$F$93)</f>
        <v>8820</v>
      </c>
      <c r="G44" s="17">
        <f>G43/(1+'01_가정'!$F$85)*(1-'01_가정'!$F$93)</f>
        <v>8820</v>
      </c>
      <c r="H44" s="17">
        <f>H43/(1+'01_가정'!$F$85)*(1-'01_가정'!$F$93)</f>
        <v>8820</v>
      </c>
      <c r="I44" s="1"/>
      <c r="J44" s="1"/>
      <c r="K44" s="1"/>
      <c r="L44" s="1"/>
    </row>
    <row r="45" spans="1:12" ht="22.95" customHeight="1">
      <c r="A45" s="1"/>
      <c r="B45" s="1"/>
      <c r="C45" s="1" t="s">
        <v>196</v>
      </c>
      <c r="D45" s="1" t="s">
        <v>11</v>
      </c>
      <c r="E45" s="1"/>
      <c r="F45" s="17">
        <f>'01_가정'!F74</f>
        <v>4500</v>
      </c>
      <c r="G45" s="17">
        <f>'01_가정'!G74</f>
        <v>4300</v>
      </c>
      <c r="H45" s="17">
        <f>'01_가정'!H74</f>
        <v>4000</v>
      </c>
      <c r="I45" s="1"/>
      <c r="J45" s="1"/>
      <c r="K45" s="1"/>
      <c r="L45" s="1"/>
    </row>
    <row r="46" spans="1:12" ht="22.95" customHeight="1">
      <c r="A46" s="1"/>
      <c r="B46" s="1"/>
      <c r="C46" s="1" t="s">
        <v>197</v>
      </c>
      <c r="D46" s="1" t="s">
        <v>11</v>
      </c>
      <c r="E46" s="1"/>
      <c r="F46" s="17">
        <f>F44*'01_가정'!$F$92</f>
        <v>291.06</v>
      </c>
      <c r="G46" s="17">
        <f>G44*'01_가정'!$F$92</f>
        <v>291.06</v>
      </c>
      <c r="H46" s="17">
        <f>H44*'01_가정'!$F$92</f>
        <v>291.06</v>
      </c>
      <c r="I46" s="1"/>
      <c r="J46" s="1"/>
      <c r="K46" s="1"/>
      <c r="L46" s="1"/>
    </row>
    <row r="47" spans="1:12" ht="22.95" customHeight="1">
      <c r="A47" s="1"/>
      <c r="B47" s="1"/>
      <c r="C47" s="1" t="s">
        <v>198</v>
      </c>
      <c r="D47" s="1" t="s">
        <v>11</v>
      </c>
      <c r="E47" s="1"/>
      <c r="F47" s="17">
        <f>'01_가정'!$F$91</f>
        <v>3000</v>
      </c>
      <c r="G47" s="17">
        <f>'01_가정'!$F$91</f>
        <v>3000</v>
      </c>
      <c r="H47" s="17">
        <f>'01_가정'!$F$91</f>
        <v>3000</v>
      </c>
      <c r="I47" s="1"/>
      <c r="J47" s="1"/>
      <c r="K47" s="1"/>
      <c r="L47" s="1"/>
    </row>
    <row r="48" spans="1:12" ht="22.95" customHeight="1">
      <c r="A48" s="1"/>
      <c r="B48" s="1"/>
      <c r="C48" s="1" t="s">
        <v>199</v>
      </c>
      <c r="D48" s="1" t="s">
        <v>11</v>
      </c>
      <c r="E48" s="1"/>
      <c r="F48" s="17">
        <f>'01_가정'!$F$93*'01_가정'!$F$88</f>
        <v>120</v>
      </c>
      <c r="G48" s="17">
        <f>'01_가정'!$F$93*'01_가정'!$F$88</f>
        <v>120</v>
      </c>
      <c r="H48" s="17">
        <f>'01_가정'!$F$93*'01_가정'!$F$88</f>
        <v>120</v>
      </c>
      <c r="I48" s="1"/>
      <c r="J48" s="1"/>
      <c r="K48" s="1"/>
      <c r="L48" s="1"/>
    </row>
    <row r="49" spans="1:12" ht="22.95" customHeight="1">
      <c r="A49" s="1"/>
      <c r="B49" s="1"/>
      <c r="C49" s="8" t="s">
        <v>200</v>
      </c>
      <c r="D49" s="8" t="s">
        <v>11</v>
      </c>
      <c r="E49" s="8"/>
      <c r="F49" s="9">
        <f>F44-SUM(F45:F48)</f>
        <v>908.9399999999996</v>
      </c>
      <c r="G49" s="9">
        <f>G44-SUM(G45:G48)</f>
        <v>1108.9399999999996</v>
      </c>
      <c r="H49" s="9">
        <f>H44-SUM(H45:H48)</f>
        <v>1408.9399999999996</v>
      </c>
      <c r="I49" s="1"/>
      <c r="J49" s="1"/>
      <c r="K49" s="1"/>
      <c r="L49" s="1"/>
    </row>
    <row r="50" spans="1:12" ht="22.95" customHeight="1">
      <c r="A50" s="1"/>
      <c r="B50" s="1"/>
      <c r="C50" s="1" t="s">
        <v>201</v>
      </c>
      <c r="D50" s="1" t="s">
        <v>54</v>
      </c>
      <c r="E50" s="1"/>
      <c r="F50" s="18">
        <f>'01_가정'!F30</f>
        <v>0.1</v>
      </c>
      <c r="G50" s="18">
        <f>'01_가정'!G30</f>
        <v>0.12</v>
      </c>
      <c r="H50" s="18">
        <f>'01_가정'!H30</f>
        <v>0.15</v>
      </c>
      <c r="I50" s="1"/>
      <c r="J50" s="1"/>
      <c r="K50" s="1"/>
      <c r="L50" s="1"/>
    </row>
    <row r="51" spans="1:12" ht="22.95" customHeight="1">
      <c r="A51" s="1"/>
      <c r="B51" s="1"/>
      <c r="C51" s="1" t="s">
        <v>202</v>
      </c>
      <c r="D51" s="1" t="s">
        <v>54</v>
      </c>
      <c r="E51" s="1"/>
      <c r="F51" s="18">
        <f>'01_가정'!F34</f>
        <v>0.75</v>
      </c>
      <c r="G51" s="18">
        <f>'01_가정'!G34</f>
        <v>0.78</v>
      </c>
      <c r="H51" s="18">
        <f>'01_가정'!H34</f>
        <v>0.8</v>
      </c>
      <c r="I51" s="1"/>
      <c r="J51" s="1"/>
      <c r="K51" s="1"/>
      <c r="L51" s="1"/>
    </row>
    <row r="52" spans="1:12" ht="22.95" customHeight="1">
      <c r="A52" s="1"/>
      <c r="B52" s="1"/>
      <c r="C52" s="1" t="s">
        <v>203</v>
      </c>
      <c r="D52" s="1" t="s">
        <v>107</v>
      </c>
      <c r="E52" s="1"/>
      <c r="F52" s="21">
        <f>F10*F50*'01_가정'!$F$94*IF(F51=1,11,(1-F51^11)/(1-F51))</f>
        <v>0.3256400537490845</v>
      </c>
      <c r="G52" s="21">
        <f>G10*G50*'01_가정'!$F$94*IF(G51=1,11,(1-G51^11)/(1-G51))</f>
        <v>0.44879085528785168</v>
      </c>
      <c r="H52" s="21">
        <f>H10*H50*'01_가정'!$F$94*IF(H51=1,11,(1-H51^11)/(1-H51))</f>
        <v>0.61701794150400013</v>
      </c>
      <c r="I52" s="1"/>
      <c r="J52" s="1"/>
      <c r="K52" s="1"/>
      <c r="L52" s="1"/>
    </row>
    <row r="53" spans="1:12" ht="22.95" customHeight="1">
      <c r="A53" s="1"/>
      <c r="B53" s="1"/>
      <c r="C53" s="1" t="s">
        <v>204</v>
      </c>
      <c r="D53" s="1" t="s">
        <v>11</v>
      </c>
      <c r="E53" s="1"/>
      <c r="F53" s="19">
        <f>F52*F49</f>
        <v>295.98727045469275</v>
      </c>
      <c r="G53" s="19">
        <f>G52*G49</f>
        <v>497.68213106291006</v>
      </c>
      <c r="H53" s="19">
        <f>H52*H49</f>
        <v>869.3412585026457</v>
      </c>
      <c r="I53" s="1"/>
      <c r="J53" s="1"/>
      <c r="K53" s="1"/>
      <c r="L53" s="1"/>
    </row>
    <row r="54" spans="1:12" ht="22.95" customHeight="1">
      <c r="A54" s="1"/>
      <c r="B54" s="1"/>
      <c r="C54" s="1" t="s">
        <v>205</v>
      </c>
      <c r="D54" s="1" t="s">
        <v>11</v>
      </c>
      <c r="E54" s="1"/>
      <c r="F54" s="19">
        <f>F18+F53</f>
        <v>18288.305452272871</v>
      </c>
      <c r="G54" s="19">
        <f>G18+G53</f>
        <v>27072.082131062903</v>
      </c>
      <c r="H54" s="19">
        <f>H18+H53</f>
        <v>34831.795803957189</v>
      </c>
      <c r="I54" s="1"/>
      <c r="J54" s="1"/>
      <c r="K54" s="1"/>
      <c r="L54" s="1"/>
    </row>
    <row r="55" spans="1:12" ht="22.95" customHeight="1">
      <c r="A55" s="1"/>
      <c r="B55" s="1"/>
      <c r="C55" s="8" t="s">
        <v>206</v>
      </c>
      <c r="D55" s="8" t="s">
        <v>11</v>
      </c>
      <c r="E55" s="8"/>
      <c r="F55" s="9">
        <f>IF(ISNUMBER(F19),F54-F19,"n.a.")</f>
        <v>-61711.694547727129</v>
      </c>
      <c r="G55" s="9">
        <f>IF(ISNUMBER(G19),G54-G19,"n.a.")</f>
        <v>-34039.028980048213</v>
      </c>
      <c r="H55" s="9">
        <f>IF(ISNUMBER(H19),H54-H19,"n.a.")</f>
        <v>-15168.204196042811</v>
      </c>
      <c r="I55" s="1"/>
      <c r="J55" s="1"/>
      <c r="K55" s="1"/>
      <c r="L55" s="1"/>
    </row>
    <row r="56" spans="1:12" ht="22.95" customHeight="1">
      <c r="A56" s="1"/>
      <c r="B56" s="1"/>
      <c r="C56" s="1" t="s">
        <v>207</v>
      </c>
      <c r="D56" s="1" t="s">
        <v>208</v>
      </c>
      <c r="E56" s="1"/>
      <c r="F56" s="22">
        <f>IF(AND(ISNUMBER(F19),F19&gt;0),F54/F19,"n.a.")</f>
        <v>0.22860381815341088</v>
      </c>
      <c r="G56" s="22">
        <f>IF(AND(ISNUMBER(G19),G19&gt;0),G54/G19,"n.a.")</f>
        <v>0.44299770759921109</v>
      </c>
      <c r="H56" s="22">
        <f>IF(AND(ISNUMBER(H19),H19&gt;0),H54/H19,"n.a.")</f>
        <v>0.69663591607914377</v>
      </c>
      <c r="I56" s="1"/>
      <c r="J56" s="1"/>
      <c r="K56" s="1"/>
      <c r="L56" s="1"/>
    </row>
    <row r="57" spans="1:12" ht="22.95" customHeight="1">
      <c r="A57" s="1"/>
      <c r="B57" s="1"/>
      <c r="C57" s="1"/>
      <c r="D57" s="1"/>
      <c r="E57" s="1"/>
      <c r="F57" s="1"/>
      <c r="G57" s="1"/>
      <c r="H57" s="1"/>
      <c r="I57" s="1"/>
      <c r="J57" s="1"/>
      <c r="K57" s="1"/>
      <c r="L57" s="1"/>
    </row>
    <row r="58" spans="1:12" ht="22.95" customHeight="1">
      <c r="A58" s="1"/>
      <c r="B58" s="1"/>
      <c r="C58" s="1"/>
      <c r="D58" s="1"/>
      <c r="E58" s="1"/>
      <c r="F58" s="1"/>
      <c r="G58" s="1"/>
      <c r="H58" s="1"/>
      <c r="I58" s="1"/>
      <c r="J58" s="1"/>
      <c r="K58" s="1"/>
      <c r="L58" s="1"/>
    </row>
    <row r="59" spans="1:12" ht="36" customHeight="1">
      <c r="A59" s="1"/>
      <c r="B59" s="1"/>
      <c r="C59" s="35" t="s">
        <v>209</v>
      </c>
      <c r="D59" s="35"/>
      <c r="E59" s="35"/>
      <c r="F59" s="35"/>
      <c r="G59" s="35"/>
      <c r="H59" s="35"/>
      <c r="I59" s="35"/>
      <c r="J59" s="35"/>
      <c r="K59" s="35"/>
      <c r="L59" s="35"/>
    </row>
    <row r="60" spans="1:12" ht="22.95" customHeight="1">
      <c r="A60" s="1"/>
      <c r="B60" s="1"/>
      <c r="C60" s="1"/>
      <c r="D60" s="1"/>
      <c r="E60" s="1"/>
      <c r="F60" s="1"/>
      <c r="G60" s="1"/>
      <c r="H60" s="1"/>
      <c r="I60" s="1"/>
      <c r="J60" s="1"/>
      <c r="K60" s="1"/>
      <c r="L60" s="1"/>
    </row>
    <row r="61" spans="1:12" ht="36" customHeight="1">
      <c r="A61" s="1"/>
      <c r="B61" s="1"/>
      <c r="C61" s="35" t="s">
        <v>210</v>
      </c>
      <c r="D61" s="35"/>
      <c r="E61" s="35"/>
      <c r="F61" s="35"/>
      <c r="G61" s="35"/>
      <c r="H61" s="35"/>
      <c r="I61" s="35"/>
      <c r="J61" s="35"/>
      <c r="K61" s="35"/>
      <c r="L61" s="35"/>
    </row>
    <row r="62" spans="1:12" ht="22.95" customHeight="1">
      <c r="A62" s="1"/>
      <c r="B62" s="1"/>
      <c r="C62" s="1"/>
      <c r="D62" s="1"/>
      <c r="E62" s="1"/>
      <c r="F62" s="1"/>
      <c r="G62" s="1"/>
      <c r="H62" s="1"/>
      <c r="I62" s="1"/>
      <c r="J62" s="1"/>
      <c r="K62" s="1"/>
      <c r="L62" s="1"/>
    </row>
    <row r="63" spans="1:12" ht="22.95" customHeight="1">
      <c r="A63" s="1"/>
      <c r="B63" s="1"/>
      <c r="C63" s="1"/>
      <c r="D63" s="1"/>
      <c r="E63" s="1"/>
      <c r="F63" s="1"/>
      <c r="G63" s="1"/>
      <c r="H63" s="1"/>
      <c r="I63" s="1"/>
      <c r="J63" s="1"/>
      <c r="K63" s="1"/>
      <c r="L63" s="1"/>
    </row>
    <row r="64" spans="1:12" ht="22.95" customHeight="1">
      <c r="A64" s="1"/>
      <c r="B64" s="1"/>
      <c r="C64" s="1"/>
      <c r="D64" s="1"/>
      <c r="E64" s="1"/>
      <c r="F64" s="1"/>
      <c r="G64" s="1"/>
      <c r="H64" s="1"/>
      <c r="I64" s="1"/>
      <c r="J64" s="1"/>
      <c r="K64" s="1"/>
      <c r="L64" s="1"/>
    </row>
    <row r="65" spans="1:12" ht="22.95" customHeight="1">
      <c r="A65" s="1"/>
      <c r="B65" s="1"/>
      <c r="C65" s="1"/>
      <c r="D65" s="1"/>
      <c r="E65" s="1"/>
      <c r="F65" s="1"/>
      <c r="G65" s="1"/>
      <c r="H65" s="1"/>
      <c r="I65" s="1"/>
      <c r="J65" s="1"/>
      <c r="K65" s="1"/>
      <c r="L65" s="1"/>
    </row>
  </sheetData>
  <mergeCells count="2">
    <mergeCell ref="C59:L59"/>
    <mergeCell ref="C61:L61"/>
  </mergeCells>
  <phoneticPr fontId="24" type="noConversion"/>
  <conditionalFormatting sqref="F18:H56">
    <cfRule type="cellIs" dxfId="2" priority="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AS64"/>
  <sheetViews>
    <sheetView showGridLines="0" topLeftCell="A4" zoomScale="77" workbookViewId="0">
      <pane xSplit="5" ySplit="2" topLeftCell="F33" activePane="bottomRight" state="frozen"/>
      <selection activeCell="A4" sqref="A4"/>
      <selection pane="topRight" activeCell="F4" sqref="F4"/>
      <selection pane="bottomLeft" activeCell="A6" sqref="A6"/>
      <selection pane="bottomRight" activeCell="F52" sqref="F52"/>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45" width="14" customWidth="1"/>
  </cols>
  <sheetData>
    <row r="1" spans="1:45" ht="22.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34.950000000000003" customHeight="1">
      <c r="A2" s="1"/>
      <c r="B2" s="1"/>
      <c r="C2" s="2" t="s">
        <v>211</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22.9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22.95" customHeight="1">
      <c r="A4" s="1"/>
      <c r="B4" s="1"/>
      <c r="C4" s="1" t="s">
        <v>1</v>
      </c>
      <c r="D4" s="1"/>
      <c r="E4" s="1"/>
      <c r="F4" s="31" t="str">
        <f>'01_가정'!H4</f>
        <v>보수</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30" customHeight="1">
      <c r="A5" s="1"/>
      <c r="B5" s="1"/>
      <c r="C5" s="1"/>
      <c r="D5" s="1"/>
      <c r="E5" s="1"/>
      <c r="F5" s="7" t="s">
        <v>5</v>
      </c>
      <c r="G5" s="7" t="s">
        <v>6</v>
      </c>
      <c r="H5" s="7" t="s">
        <v>7</v>
      </c>
      <c r="I5" s="1"/>
      <c r="J5" s="23">
        <f>EDATE('01_가정'!$F$5,0)</f>
        <v>46388</v>
      </c>
      <c r="K5" s="23">
        <f>EDATE('01_가정'!$F$5,1)</f>
        <v>46419</v>
      </c>
      <c r="L5" s="23">
        <f>EDATE('01_가정'!$F$5,2)</f>
        <v>46447</v>
      </c>
      <c r="M5" s="23">
        <f>EDATE('01_가정'!$F$5,3)</f>
        <v>46478</v>
      </c>
      <c r="N5" s="23">
        <f>EDATE('01_가정'!$F$5,4)</f>
        <v>46508</v>
      </c>
      <c r="O5" s="23">
        <f>EDATE('01_가정'!$F$5,5)</f>
        <v>46539</v>
      </c>
      <c r="P5" s="23">
        <f>EDATE('01_가정'!$F$5,6)</f>
        <v>46569</v>
      </c>
      <c r="Q5" s="23">
        <f>EDATE('01_가정'!$F$5,7)</f>
        <v>46600</v>
      </c>
      <c r="R5" s="23">
        <f>EDATE('01_가정'!$F$5,8)</f>
        <v>46631</v>
      </c>
      <c r="S5" s="23">
        <f>EDATE('01_가정'!$F$5,9)</f>
        <v>46661</v>
      </c>
      <c r="T5" s="23">
        <f>EDATE('01_가정'!$F$5,10)</f>
        <v>46692</v>
      </c>
      <c r="U5" s="23">
        <f>EDATE('01_가정'!$F$5,11)</f>
        <v>46722</v>
      </c>
      <c r="V5" s="23">
        <f>EDATE('01_가정'!$F$5,12)</f>
        <v>46753</v>
      </c>
      <c r="W5" s="23">
        <f>EDATE('01_가정'!$F$5,13)</f>
        <v>46784</v>
      </c>
      <c r="X5" s="23">
        <f>EDATE('01_가정'!$F$5,14)</f>
        <v>46813</v>
      </c>
      <c r="Y5" s="23">
        <f>EDATE('01_가정'!$F$5,15)</f>
        <v>46844</v>
      </c>
      <c r="Z5" s="23">
        <f>EDATE('01_가정'!$F$5,16)</f>
        <v>46874</v>
      </c>
      <c r="AA5" s="23">
        <f>EDATE('01_가정'!$F$5,17)</f>
        <v>46905</v>
      </c>
      <c r="AB5" s="23">
        <f>EDATE('01_가정'!$F$5,18)</f>
        <v>46935</v>
      </c>
      <c r="AC5" s="23">
        <f>EDATE('01_가정'!$F$5,19)</f>
        <v>46966</v>
      </c>
      <c r="AD5" s="23">
        <f>EDATE('01_가정'!$F$5,20)</f>
        <v>46997</v>
      </c>
      <c r="AE5" s="23">
        <f>EDATE('01_가정'!$F$5,21)</f>
        <v>47027</v>
      </c>
      <c r="AF5" s="23">
        <f>EDATE('01_가정'!$F$5,22)</f>
        <v>47058</v>
      </c>
      <c r="AG5" s="23">
        <f>EDATE('01_가정'!$F$5,23)</f>
        <v>47088</v>
      </c>
      <c r="AH5" s="23">
        <f>EDATE('01_가정'!$F$5,24)</f>
        <v>47119</v>
      </c>
      <c r="AI5" s="23">
        <f>EDATE('01_가정'!$F$5,25)</f>
        <v>47150</v>
      </c>
      <c r="AJ5" s="23">
        <f>EDATE('01_가정'!$F$5,26)</f>
        <v>47178</v>
      </c>
      <c r="AK5" s="23">
        <f>EDATE('01_가정'!$F$5,27)</f>
        <v>47209</v>
      </c>
      <c r="AL5" s="23">
        <f>EDATE('01_가정'!$F$5,28)</f>
        <v>47239</v>
      </c>
      <c r="AM5" s="23">
        <f>EDATE('01_가정'!$F$5,29)</f>
        <v>47270</v>
      </c>
      <c r="AN5" s="23">
        <f>EDATE('01_가정'!$F$5,30)</f>
        <v>47300</v>
      </c>
      <c r="AO5" s="23">
        <f>EDATE('01_가정'!$F$5,31)</f>
        <v>47331</v>
      </c>
      <c r="AP5" s="23">
        <f>EDATE('01_가정'!$F$5,32)</f>
        <v>47362</v>
      </c>
      <c r="AQ5" s="23">
        <f>EDATE('01_가정'!$F$5,33)</f>
        <v>47392</v>
      </c>
      <c r="AR5" s="23">
        <f>EDATE('01_가정'!$F$5,34)</f>
        <v>47423</v>
      </c>
      <c r="AS5" s="23">
        <f>EDATE('01_가정'!$F$5,35)</f>
        <v>47453</v>
      </c>
    </row>
    <row r="6" spans="1:45" ht="22.95" customHeight="1">
      <c r="A6" s="1"/>
      <c r="B6" s="1"/>
      <c r="C6" s="1"/>
      <c r="D6" s="1"/>
      <c r="E6" s="1"/>
      <c r="F6" s="1"/>
      <c r="G6" s="1"/>
      <c r="H6" s="1"/>
      <c r="I6" s="1"/>
      <c r="J6" s="1">
        <v>1</v>
      </c>
      <c r="K6" s="1">
        <v>2</v>
      </c>
      <c r="L6" s="1">
        <v>3</v>
      </c>
      <c r="M6" s="1">
        <v>4</v>
      </c>
      <c r="N6" s="1">
        <v>5</v>
      </c>
      <c r="O6" s="1">
        <v>6</v>
      </c>
      <c r="P6" s="1">
        <v>7</v>
      </c>
      <c r="Q6" s="1">
        <v>8</v>
      </c>
      <c r="R6" s="1">
        <v>9</v>
      </c>
      <c r="S6" s="1">
        <v>10</v>
      </c>
      <c r="T6" s="1">
        <v>11</v>
      </c>
      <c r="U6" s="1">
        <v>12</v>
      </c>
      <c r="V6" s="1">
        <v>13</v>
      </c>
      <c r="W6" s="1">
        <v>14</v>
      </c>
      <c r="X6" s="1">
        <v>15</v>
      </c>
      <c r="Y6" s="1">
        <v>16</v>
      </c>
      <c r="Z6" s="1">
        <v>17</v>
      </c>
      <c r="AA6" s="1">
        <v>18</v>
      </c>
      <c r="AB6" s="1">
        <v>19</v>
      </c>
      <c r="AC6" s="1">
        <v>20</v>
      </c>
      <c r="AD6" s="1">
        <v>21</v>
      </c>
      <c r="AE6" s="1">
        <v>22</v>
      </c>
      <c r="AF6" s="1">
        <v>23</v>
      </c>
      <c r="AG6" s="1">
        <v>24</v>
      </c>
      <c r="AH6" s="1">
        <v>25</v>
      </c>
      <c r="AI6" s="1">
        <v>26</v>
      </c>
      <c r="AJ6" s="1">
        <v>27</v>
      </c>
      <c r="AK6" s="1">
        <v>28</v>
      </c>
      <c r="AL6" s="1">
        <v>29</v>
      </c>
      <c r="AM6" s="1">
        <v>30</v>
      </c>
      <c r="AN6" s="1">
        <v>31</v>
      </c>
      <c r="AO6" s="1">
        <v>32</v>
      </c>
      <c r="AP6" s="1">
        <v>33</v>
      </c>
      <c r="AQ6" s="1">
        <v>34</v>
      </c>
      <c r="AR6" s="1">
        <v>35</v>
      </c>
      <c r="AS6" s="1">
        <v>36</v>
      </c>
    </row>
    <row r="7" spans="1:45" ht="22.9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22.95" customHeight="1">
      <c r="A8" s="1"/>
      <c r="B8" s="1"/>
      <c r="C8" s="1" t="s">
        <v>212</v>
      </c>
      <c r="D8" s="1" t="s">
        <v>110</v>
      </c>
      <c r="E8" s="1"/>
      <c r="F8" s="1"/>
      <c r="G8" s="1"/>
      <c r="H8" s="1"/>
      <c r="I8" s="1"/>
      <c r="J8" s="17">
        <f>IF(J$6&gt;='01_가정'!F46,1,0)</f>
        <v>0</v>
      </c>
      <c r="K8" s="17">
        <f>IF(K$6&gt;='01_가정'!F46,1,0)</f>
        <v>0</v>
      </c>
      <c r="L8" s="17">
        <f>IF(L$6&gt;='01_가정'!F46,1,0)</f>
        <v>0</v>
      </c>
      <c r="M8" s="17">
        <f>IF(M$6&gt;='01_가정'!F46,1,0)</f>
        <v>0</v>
      </c>
      <c r="N8" s="17">
        <f>IF(N$6&gt;='01_가정'!F46,1,0)</f>
        <v>0</v>
      </c>
      <c r="O8" s="17">
        <f>IF(O$6&gt;='01_가정'!F46,1,0)</f>
        <v>0</v>
      </c>
      <c r="P8" s="17">
        <f>IF(P$6&gt;='01_가정'!F46,1,0)</f>
        <v>0</v>
      </c>
      <c r="Q8" s="17">
        <f>IF(Q$6&gt;='01_가정'!F46,1,0)</f>
        <v>0</v>
      </c>
      <c r="R8" s="17">
        <f>IF(R$6&gt;='01_가정'!F46,1,0)</f>
        <v>0</v>
      </c>
      <c r="S8" s="17">
        <f>IF(S$6&gt;='01_가정'!F46,1,0)</f>
        <v>1</v>
      </c>
      <c r="T8" s="17">
        <f>IF(T$6&gt;='01_가정'!F46,1,0)</f>
        <v>1</v>
      </c>
      <c r="U8" s="17">
        <f>IF(U$6&gt;='01_가정'!F46,1,0)</f>
        <v>1</v>
      </c>
      <c r="V8" s="17">
        <f>IF(V$6&gt;='01_가정'!F46,1,0)</f>
        <v>1</v>
      </c>
      <c r="W8" s="17">
        <f>IF(W$6&gt;='01_가정'!F46,1,0)</f>
        <v>1</v>
      </c>
      <c r="X8" s="17">
        <f>IF(X$6&gt;='01_가정'!F46,1,0)</f>
        <v>1</v>
      </c>
      <c r="Y8" s="17">
        <f>IF(Y$6&gt;='01_가정'!F46,1,0)</f>
        <v>1</v>
      </c>
      <c r="Z8" s="17">
        <f>IF(Z$6&gt;='01_가정'!F46,1,0)</f>
        <v>1</v>
      </c>
      <c r="AA8" s="17">
        <f>IF(AA$6&gt;='01_가정'!F46,1,0)</f>
        <v>1</v>
      </c>
      <c r="AB8" s="17">
        <f>IF(AB$6&gt;='01_가정'!F46,1,0)</f>
        <v>1</v>
      </c>
      <c r="AC8" s="17">
        <f>IF(AC$6&gt;='01_가정'!F46,1,0)</f>
        <v>1</v>
      </c>
      <c r="AD8" s="17">
        <f>IF(AD$6&gt;='01_가정'!F46,1,0)</f>
        <v>1</v>
      </c>
      <c r="AE8" s="17">
        <f>IF(AE$6&gt;='01_가정'!F46,1,0)</f>
        <v>1</v>
      </c>
      <c r="AF8" s="17">
        <f>IF(AF$6&gt;='01_가정'!F46,1,0)</f>
        <v>1</v>
      </c>
      <c r="AG8" s="17">
        <f>IF(AG$6&gt;='01_가정'!F46,1,0)</f>
        <v>1</v>
      </c>
      <c r="AH8" s="17">
        <f>IF(AH$6&gt;='01_가정'!F46,1,0)</f>
        <v>1</v>
      </c>
      <c r="AI8" s="17">
        <f>IF(AI$6&gt;='01_가정'!F46,1,0)</f>
        <v>1</v>
      </c>
      <c r="AJ8" s="17">
        <f>IF(AJ$6&gt;='01_가정'!F46,1,0)</f>
        <v>1</v>
      </c>
      <c r="AK8" s="17">
        <f>IF(AK$6&gt;='01_가정'!F46,1,0)</f>
        <v>1</v>
      </c>
      <c r="AL8" s="17">
        <f>IF(AL$6&gt;='01_가정'!F46,1,0)</f>
        <v>1</v>
      </c>
      <c r="AM8" s="17">
        <f>IF(AM$6&gt;='01_가정'!F46,1,0)</f>
        <v>1</v>
      </c>
      <c r="AN8" s="17">
        <f>IF(AN$6&gt;='01_가정'!F46,1,0)</f>
        <v>1</v>
      </c>
      <c r="AO8" s="17">
        <f>IF(AO$6&gt;='01_가정'!F46,1,0)</f>
        <v>1</v>
      </c>
      <c r="AP8" s="17">
        <f>IF(AP$6&gt;='01_가정'!F46,1,0)</f>
        <v>1</v>
      </c>
      <c r="AQ8" s="17">
        <f>IF(AQ$6&gt;='01_가정'!F46,1,0)</f>
        <v>1</v>
      </c>
      <c r="AR8" s="17">
        <f>IF(AR$6&gt;='01_가정'!F46,1,0)</f>
        <v>1</v>
      </c>
      <c r="AS8" s="17">
        <f>IF(AS$6&gt;='01_가정'!F46,1,0)</f>
        <v>1</v>
      </c>
    </row>
    <row r="9" spans="1:45" ht="22.95" customHeight="1">
      <c r="A9" s="1"/>
      <c r="B9" s="1"/>
      <c r="C9" s="1" t="s">
        <v>213</v>
      </c>
      <c r="D9" s="1" t="s">
        <v>54</v>
      </c>
      <c r="E9" s="1"/>
      <c r="F9" s="1"/>
      <c r="G9" s="1"/>
      <c r="H9" s="1"/>
      <c r="I9" s="1"/>
      <c r="J9" s="18">
        <f>IF(J8=0,0,IF(J$6='01_가정'!F46,0.5,IF(J$6='01_가정'!F46+1,0.75,1)))</f>
        <v>0</v>
      </c>
      <c r="K9" s="18">
        <f>IF(K8=0,0,IF(K$6='01_가정'!F46,0.5,IF(K$6='01_가정'!F46+1,0.75,1)))</f>
        <v>0</v>
      </c>
      <c r="L9" s="18">
        <f>IF(L8=0,0,IF(L$6='01_가정'!F46,0.5,IF(L$6='01_가정'!F46+1,0.75,1)))</f>
        <v>0</v>
      </c>
      <c r="M9" s="18">
        <f>IF(M8=0,0,IF(M$6='01_가정'!F46,0.5,IF(M$6='01_가정'!F46+1,0.75,1)))</f>
        <v>0</v>
      </c>
      <c r="N9" s="18">
        <f>IF(N8=0,0,IF(N$6='01_가정'!F46,0.5,IF(N$6='01_가정'!F46+1,0.75,1)))</f>
        <v>0</v>
      </c>
      <c r="O9" s="18">
        <f>IF(O8=0,0,IF(O$6='01_가정'!F46,0.5,IF(O$6='01_가정'!F46+1,0.75,1)))</f>
        <v>0</v>
      </c>
      <c r="P9" s="18">
        <f>IF(P8=0,0,IF(P$6='01_가정'!F46,0.5,IF(P$6='01_가정'!F46+1,0.75,1)))</f>
        <v>0</v>
      </c>
      <c r="Q9" s="18">
        <f>IF(Q8=0,0,IF(Q$6='01_가정'!F46,0.5,IF(Q$6='01_가정'!F46+1,0.75,1)))</f>
        <v>0</v>
      </c>
      <c r="R9" s="18">
        <f>IF(R8=0,0,IF(R$6='01_가정'!F46,0.5,IF(R$6='01_가정'!F46+1,0.75,1)))</f>
        <v>0</v>
      </c>
      <c r="S9" s="18">
        <f>IF(S8=0,0,IF(S$6='01_가정'!F46,0.5,IF(S$6='01_가정'!F46+1,0.75,1)))</f>
        <v>0.5</v>
      </c>
      <c r="T9" s="18">
        <f>IF(T8=0,0,IF(T$6='01_가정'!F46,0.5,IF(T$6='01_가정'!F46+1,0.75,1)))</f>
        <v>0.75</v>
      </c>
      <c r="U9" s="18">
        <f>IF(U8=0,0,IF(U$6='01_가정'!F46,0.5,IF(U$6='01_가정'!F46+1,0.75,1)))</f>
        <v>1</v>
      </c>
      <c r="V9" s="18">
        <f>IF(V8=0,0,IF(V$6='01_가정'!F46,0.5,IF(V$6='01_가정'!F46+1,0.75,1)))</f>
        <v>1</v>
      </c>
      <c r="W9" s="18">
        <f>IF(W8=0,0,IF(W$6='01_가정'!F46,0.5,IF(W$6='01_가정'!F46+1,0.75,1)))</f>
        <v>1</v>
      </c>
      <c r="X9" s="18">
        <f>IF(X8=0,0,IF(X$6='01_가정'!F46,0.5,IF(X$6='01_가정'!F46+1,0.75,1)))</f>
        <v>1</v>
      </c>
      <c r="Y9" s="18">
        <f>IF(Y8=0,0,IF(Y$6='01_가정'!F46,0.5,IF(Y$6='01_가정'!F46+1,0.75,1)))</f>
        <v>1</v>
      </c>
      <c r="Z9" s="18">
        <f>IF(Z8=0,0,IF(Z$6='01_가정'!F46,0.5,IF(Z$6='01_가정'!F46+1,0.75,1)))</f>
        <v>1</v>
      </c>
      <c r="AA9" s="18">
        <f>IF(AA8=0,0,IF(AA$6='01_가정'!F46,0.5,IF(AA$6='01_가정'!F46+1,0.75,1)))</f>
        <v>1</v>
      </c>
      <c r="AB9" s="18">
        <f>IF(AB8=0,0,IF(AB$6='01_가정'!F46,0.5,IF(AB$6='01_가정'!F46+1,0.75,1)))</f>
        <v>1</v>
      </c>
      <c r="AC9" s="18">
        <f>IF(AC8=0,0,IF(AC$6='01_가정'!F46,0.5,IF(AC$6='01_가정'!F46+1,0.75,1)))</f>
        <v>1</v>
      </c>
      <c r="AD9" s="18">
        <f>IF(AD8=0,0,IF(AD$6='01_가정'!F46,0.5,IF(AD$6='01_가정'!F46+1,0.75,1)))</f>
        <v>1</v>
      </c>
      <c r="AE9" s="18">
        <f>IF(AE8=0,0,IF(AE$6='01_가정'!F46,0.5,IF(AE$6='01_가정'!F46+1,0.75,1)))</f>
        <v>1</v>
      </c>
      <c r="AF9" s="18">
        <f>IF(AF8=0,0,IF(AF$6='01_가정'!F46,0.5,IF(AF$6='01_가정'!F46+1,0.75,1)))</f>
        <v>1</v>
      </c>
      <c r="AG9" s="18">
        <f>IF(AG8=0,0,IF(AG$6='01_가정'!F46,0.5,IF(AG$6='01_가정'!F46+1,0.75,1)))</f>
        <v>1</v>
      </c>
      <c r="AH9" s="18">
        <f>IF(AH8=0,0,IF(AH$6='01_가정'!F46,0.5,IF(AH$6='01_가정'!F46+1,0.75,1)))</f>
        <v>1</v>
      </c>
      <c r="AI9" s="18">
        <f>IF(AI8=0,0,IF(AI$6='01_가정'!F46,0.5,IF(AI$6='01_가정'!F46+1,0.75,1)))</f>
        <v>1</v>
      </c>
      <c r="AJ9" s="18">
        <f>IF(AJ8=0,0,IF(AJ$6='01_가정'!F46,0.5,IF(AJ$6='01_가정'!F46+1,0.75,1)))</f>
        <v>1</v>
      </c>
      <c r="AK9" s="18">
        <f>IF(AK8=0,0,IF(AK$6='01_가정'!F46,0.5,IF(AK$6='01_가정'!F46+1,0.75,1)))</f>
        <v>1</v>
      </c>
      <c r="AL9" s="18">
        <f>IF(AL8=0,0,IF(AL$6='01_가정'!F46,0.5,IF(AL$6='01_가정'!F46+1,0.75,1)))</f>
        <v>1</v>
      </c>
      <c r="AM9" s="18">
        <f>IF(AM8=0,0,IF(AM$6='01_가정'!F46,0.5,IF(AM$6='01_가정'!F46+1,0.75,1)))</f>
        <v>1</v>
      </c>
      <c r="AN9" s="18">
        <f>IF(AN8=0,0,IF(AN$6='01_가정'!F46,0.5,IF(AN$6='01_가정'!F46+1,0.75,1)))</f>
        <v>1</v>
      </c>
      <c r="AO9" s="18">
        <f>IF(AO8=0,0,IF(AO$6='01_가정'!F46,0.5,IF(AO$6='01_가정'!F46+1,0.75,1)))</f>
        <v>1</v>
      </c>
      <c r="AP9" s="18">
        <f>IF(AP8=0,0,IF(AP$6='01_가정'!F46,0.5,IF(AP$6='01_가정'!F46+1,0.75,1)))</f>
        <v>1</v>
      </c>
      <c r="AQ9" s="18">
        <f>IF(AQ8=0,0,IF(AQ$6='01_가정'!F46,0.5,IF(AQ$6='01_가정'!F46+1,0.75,1)))</f>
        <v>1</v>
      </c>
      <c r="AR9" s="18">
        <f>IF(AR8=0,0,IF(AR$6='01_가정'!F46,0.5,IF(AR$6='01_가정'!F46+1,0.75,1)))</f>
        <v>1</v>
      </c>
      <c r="AS9" s="18">
        <f>IF(AS8=0,0,IF(AS$6='01_가정'!F46,0.5,IF(AS$6='01_가정'!F46+1,0.75,1)))</f>
        <v>1</v>
      </c>
    </row>
    <row r="10" spans="1:45" ht="22.95" customHeight="1">
      <c r="A10" s="1"/>
      <c r="B10" s="1"/>
      <c r="C10" s="1" t="s">
        <v>214</v>
      </c>
      <c r="D10" s="1" t="s">
        <v>11</v>
      </c>
      <c r="E10" s="1"/>
      <c r="F10" s="19">
        <f>SUM(J10:U10)</f>
        <v>3375000</v>
      </c>
      <c r="G10" s="19">
        <f>SUM(V10:AG10)</f>
        <v>36000000</v>
      </c>
      <c r="H10" s="19">
        <f>SUM(AH10:AS10)</f>
        <v>60000000</v>
      </c>
      <c r="I10" s="1"/>
      <c r="J10" s="17">
        <f>'01_가정'!F42*J9</f>
        <v>0</v>
      </c>
      <c r="K10" s="17">
        <f>'01_가정'!F42*K9</f>
        <v>0</v>
      </c>
      <c r="L10" s="17">
        <f>'01_가정'!F42*L9</f>
        <v>0</v>
      </c>
      <c r="M10" s="17">
        <f>'01_가정'!F42*M9</f>
        <v>0</v>
      </c>
      <c r="N10" s="17">
        <f>'01_가정'!F42*N9</f>
        <v>0</v>
      </c>
      <c r="O10" s="17">
        <f>'01_가정'!F42*O9</f>
        <v>0</v>
      </c>
      <c r="P10" s="17">
        <f>'01_가정'!F42*P9</f>
        <v>0</v>
      </c>
      <c r="Q10" s="17">
        <f>'01_가정'!F42*Q9</f>
        <v>0</v>
      </c>
      <c r="R10" s="17">
        <f>'01_가정'!F42*R9</f>
        <v>0</v>
      </c>
      <c r="S10" s="17">
        <f>'01_가정'!F42*S9</f>
        <v>750000</v>
      </c>
      <c r="T10" s="17">
        <f>'01_가정'!F42*T9</f>
        <v>1125000</v>
      </c>
      <c r="U10" s="17">
        <f>'01_가정'!F42*U9</f>
        <v>1500000</v>
      </c>
      <c r="V10" s="17">
        <f>'01_가정'!G42*V9</f>
        <v>3000000</v>
      </c>
      <c r="W10" s="17">
        <f>'01_가정'!G42*W9</f>
        <v>3000000</v>
      </c>
      <c r="X10" s="17">
        <f>'01_가정'!G42*X9</f>
        <v>3000000</v>
      </c>
      <c r="Y10" s="17">
        <f>'01_가정'!G42*Y9</f>
        <v>3000000</v>
      </c>
      <c r="Z10" s="17">
        <f>'01_가정'!G42*Z9</f>
        <v>3000000</v>
      </c>
      <c r="AA10" s="17">
        <f>'01_가정'!G42*AA9</f>
        <v>3000000</v>
      </c>
      <c r="AB10" s="17">
        <f>'01_가정'!G42*AB9</f>
        <v>3000000</v>
      </c>
      <c r="AC10" s="17">
        <f>'01_가정'!G42*AC9</f>
        <v>3000000</v>
      </c>
      <c r="AD10" s="17">
        <f>'01_가정'!G42*AD9</f>
        <v>3000000</v>
      </c>
      <c r="AE10" s="17">
        <f>'01_가정'!G42*AE9</f>
        <v>3000000</v>
      </c>
      <c r="AF10" s="17">
        <f>'01_가정'!G42*AF9</f>
        <v>3000000</v>
      </c>
      <c r="AG10" s="17">
        <f>'01_가정'!G42*AG9</f>
        <v>3000000</v>
      </c>
      <c r="AH10" s="17">
        <f>'01_가정'!H42*AH9</f>
        <v>5000000</v>
      </c>
      <c r="AI10" s="17">
        <f>'01_가정'!H42*AI9</f>
        <v>5000000</v>
      </c>
      <c r="AJ10" s="17">
        <f>'01_가정'!H42*AJ9</f>
        <v>5000000</v>
      </c>
      <c r="AK10" s="17">
        <f>'01_가정'!H42*AK9</f>
        <v>5000000</v>
      </c>
      <c r="AL10" s="17">
        <f>'01_가정'!H42*AL9</f>
        <v>5000000</v>
      </c>
      <c r="AM10" s="17">
        <f>'01_가정'!H42*AM9</f>
        <v>5000000</v>
      </c>
      <c r="AN10" s="17">
        <f>'01_가정'!H42*AN9</f>
        <v>5000000</v>
      </c>
      <c r="AO10" s="17">
        <f>'01_가정'!H42*AO9</f>
        <v>5000000</v>
      </c>
      <c r="AP10" s="17">
        <f>'01_가정'!H42*AP9</f>
        <v>5000000</v>
      </c>
      <c r="AQ10" s="17">
        <f>'01_가정'!H42*AQ9</f>
        <v>5000000</v>
      </c>
      <c r="AR10" s="17">
        <f>'01_가정'!H42*AR9</f>
        <v>5000000</v>
      </c>
      <c r="AS10" s="17">
        <f>'01_가정'!H42*AS9</f>
        <v>5000000</v>
      </c>
    </row>
    <row r="11" spans="1:45" ht="22.95" customHeight="1">
      <c r="A11" s="1"/>
      <c r="B11" s="1"/>
      <c r="C11" s="1" t="s">
        <v>215</v>
      </c>
      <c r="D11" s="1" t="s">
        <v>11</v>
      </c>
      <c r="E11" s="1"/>
      <c r="F11" s="1"/>
      <c r="G11" s="1"/>
      <c r="H11" s="1"/>
      <c r="I11" s="1"/>
      <c r="J11" s="17">
        <f>'01_가정'!F18</f>
        <v>1200</v>
      </c>
      <c r="K11" s="17">
        <f>'01_가정'!F18</f>
        <v>1200</v>
      </c>
      <c r="L11" s="17">
        <f>'01_가정'!F18</f>
        <v>1200</v>
      </c>
      <c r="M11" s="17">
        <f>'01_가정'!F18</f>
        <v>1200</v>
      </c>
      <c r="N11" s="17">
        <f>'01_가정'!F18</f>
        <v>1200</v>
      </c>
      <c r="O11" s="17">
        <f>'01_가정'!F18</f>
        <v>1200</v>
      </c>
      <c r="P11" s="17">
        <f>'01_가정'!F18</f>
        <v>1200</v>
      </c>
      <c r="Q11" s="17">
        <f>'01_가정'!F18</f>
        <v>1200</v>
      </c>
      <c r="R11" s="17">
        <f>'01_가정'!F18</f>
        <v>1200</v>
      </c>
      <c r="S11" s="17">
        <f>'01_가정'!F18</f>
        <v>1200</v>
      </c>
      <c r="T11" s="17">
        <f>'01_가정'!F18</f>
        <v>1200</v>
      </c>
      <c r="U11" s="17">
        <f>'01_가정'!F18</f>
        <v>1200</v>
      </c>
      <c r="V11" s="17">
        <f>'01_가정'!G18</f>
        <v>1100</v>
      </c>
      <c r="W11" s="17">
        <f>'01_가정'!G18</f>
        <v>1100</v>
      </c>
      <c r="X11" s="17">
        <f>'01_가정'!G18</f>
        <v>1100</v>
      </c>
      <c r="Y11" s="17">
        <f>'01_가정'!G18</f>
        <v>1100</v>
      </c>
      <c r="Z11" s="17">
        <f>'01_가정'!G18</f>
        <v>1100</v>
      </c>
      <c r="AA11" s="17">
        <f>'01_가정'!G18</f>
        <v>1100</v>
      </c>
      <c r="AB11" s="17">
        <f>'01_가정'!G18</f>
        <v>1100</v>
      </c>
      <c r="AC11" s="17">
        <f>'01_가정'!G18</f>
        <v>1100</v>
      </c>
      <c r="AD11" s="17">
        <f>'01_가정'!G18</f>
        <v>1100</v>
      </c>
      <c r="AE11" s="17">
        <f>'01_가정'!G18</f>
        <v>1100</v>
      </c>
      <c r="AF11" s="17">
        <f>'01_가정'!G18</f>
        <v>1100</v>
      </c>
      <c r="AG11" s="17">
        <f>'01_가정'!G18</f>
        <v>1100</v>
      </c>
      <c r="AH11" s="17">
        <f>'01_가정'!H18</f>
        <v>1000</v>
      </c>
      <c r="AI11" s="17">
        <f>'01_가정'!H18</f>
        <v>1000</v>
      </c>
      <c r="AJ11" s="17">
        <f>'01_가정'!H18</f>
        <v>1000</v>
      </c>
      <c r="AK11" s="17">
        <f>'01_가정'!H18</f>
        <v>1000</v>
      </c>
      <c r="AL11" s="17">
        <f>'01_가정'!H18</f>
        <v>1000</v>
      </c>
      <c r="AM11" s="17">
        <f>'01_가정'!H18</f>
        <v>1000</v>
      </c>
      <c r="AN11" s="17">
        <f>'01_가정'!H18</f>
        <v>1000</v>
      </c>
      <c r="AO11" s="17">
        <f>'01_가정'!H18</f>
        <v>1000</v>
      </c>
      <c r="AP11" s="17">
        <f>'01_가정'!H18</f>
        <v>1000</v>
      </c>
      <c r="AQ11" s="17">
        <f>'01_가정'!H18</f>
        <v>1000</v>
      </c>
      <c r="AR11" s="17">
        <f>'01_가정'!H18</f>
        <v>1000</v>
      </c>
      <c r="AS11" s="17">
        <f>'01_가정'!H18</f>
        <v>1000</v>
      </c>
    </row>
    <row r="12" spans="1:45" ht="22.95" customHeight="1">
      <c r="A12" s="1"/>
      <c r="B12" s="1"/>
      <c r="C12" s="1" t="s">
        <v>216</v>
      </c>
      <c r="D12" s="1" t="s">
        <v>217</v>
      </c>
      <c r="E12" s="1"/>
      <c r="F12" s="19">
        <f>SUM(J12:U12)</f>
        <v>2812.5</v>
      </c>
      <c r="G12" s="19">
        <f>SUM(V12:AG12)</f>
        <v>32727.272727272732</v>
      </c>
      <c r="H12" s="19">
        <f>SUM(AH12:AS12)</f>
        <v>60000</v>
      </c>
      <c r="I12" s="1"/>
      <c r="J12" s="19">
        <f t="shared" ref="J12:AS12" si="0">IF(J11&gt;0,J10/J11,0)</f>
        <v>0</v>
      </c>
      <c r="K12" s="19">
        <f t="shared" si="0"/>
        <v>0</v>
      </c>
      <c r="L12" s="19">
        <f t="shared" si="0"/>
        <v>0</v>
      </c>
      <c r="M12" s="19">
        <f t="shared" si="0"/>
        <v>0</v>
      </c>
      <c r="N12" s="19">
        <f t="shared" si="0"/>
        <v>0</v>
      </c>
      <c r="O12" s="19">
        <f t="shared" si="0"/>
        <v>0</v>
      </c>
      <c r="P12" s="19">
        <f t="shared" si="0"/>
        <v>0</v>
      </c>
      <c r="Q12" s="19">
        <f t="shared" si="0"/>
        <v>0</v>
      </c>
      <c r="R12" s="19">
        <f t="shared" si="0"/>
        <v>0</v>
      </c>
      <c r="S12" s="19">
        <f t="shared" si="0"/>
        <v>625</v>
      </c>
      <c r="T12" s="19">
        <f t="shared" si="0"/>
        <v>937.5</v>
      </c>
      <c r="U12" s="19">
        <f t="shared" si="0"/>
        <v>1250</v>
      </c>
      <c r="V12" s="19">
        <f t="shared" si="0"/>
        <v>2727.2727272727275</v>
      </c>
      <c r="W12" s="19">
        <f t="shared" si="0"/>
        <v>2727.2727272727275</v>
      </c>
      <c r="X12" s="19">
        <f t="shared" si="0"/>
        <v>2727.2727272727275</v>
      </c>
      <c r="Y12" s="19">
        <f t="shared" si="0"/>
        <v>2727.2727272727275</v>
      </c>
      <c r="Z12" s="19">
        <f t="shared" si="0"/>
        <v>2727.2727272727275</v>
      </c>
      <c r="AA12" s="19">
        <f t="shared" si="0"/>
        <v>2727.2727272727275</v>
      </c>
      <c r="AB12" s="19">
        <f t="shared" si="0"/>
        <v>2727.2727272727275</v>
      </c>
      <c r="AC12" s="19">
        <f t="shared" si="0"/>
        <v>2727.2727272727275</v>
      </c>
      <c r="AD12" s="19">
        <f t="shared" si="0"/>
        <v>2727.2727272727275</v>
      </c>
      <c r="AE12" s="19">
        <f t="shared" si="0"/>
        <v>2727.2727272727275</v>
      </c>
      <c r="AF12" s="19">
        <f t="shared" si="0"/>
        <v>2727.2727272727275</v>
      </c>
      <c r="AG12" s="19">
        <f t="shared" si="0"/>
        <v>2727.2727272727275</v>
      </c>
      <c r="AH12" s="19">
        <f t="shared" si="0"/>
        <v>5000</v>
      </c>
      <c r="AI12" s="19">
        <f t="shared" si="0"/>
        <v>5000</v>
      </c>
      <c r="AJ12" s="19">
        <f t="shared" si="0"/>
        <v>5000</v>
      </c>
      <c r="AK12" s="19">
        <f t="shared" si="0"/>
        <v>5000</v>
      </c>
      <c r="AL12" s="19">
        <f t="shared" si="0"/>
        <v>5000</v>
      </c>
      <c r="AM12" s="19">
        <f t="shared" si="0"/>
        <v>5000</v>
      </c>
      <c r="AN12" s="19">
        <f t="shared" si="0"/>
        <v>5000</v>
      </c>
      <c r="AO12" s="19">
        <f t="shared" si="0"/>
        <v>5000</v>
      </c>
      <c r="AP12" s="19">
        <f t="shared" si="0"/>
        <v>5000</v>
      </c>
      <c r="AQ12" s="19">
        <f t="shared" si="0"/>
        <v>5000</v>
      </c>
      <c r="AR12" s="19">
        <f t="shared" si="0"/>
        <v>5000</v>
      </c>
      <c r="AS12" s="19">
        <f t="shared" si="0"/>
        <v>5000</v>
      </c>
    </row>
    <row r="13" spans="1:45" ht="22.95" customHeight="1">
      <c r="A13" s="1"/>
      <c r="B13" s="1"/>
      <c r="C13" s="1" t="s">
        <v>218</v>
      </c>
      <c r="D13" s="1" t="s">
        <v>217</v>
      </c>
      <c r="E13" s="1"/>
      <c r="F13" s="19">
        <f>SUM(J13:U13)</f>
        <v>1125</v>
      </c>
      <c r="G13" s="19">
        <f>SUM(V13:AG13)</f>
        <v>12000</v>
      </c>
      <c r="H13" s="19">
        <f>SUM(AH13:AS13)</f>
        <v>24000</v>
      </c>
      <c r="I13" s="1"/>
      <c r="J13" s="17">
        <f>'01_가정'!F38*J9</f>
        <v>0</v>
      </c>
      <c r="K13" s="17">
        <f>'01_가정'!F38*K9</f>
        <v>0</v>
      </c>
      <c r="L13" s="17">
        <f>'01_가정'!F38*L9</f>
        <v>0</v>
      </c>
      <c r="M13" s="17">
        <f>'01_가정'!F38*M9</f>
        <v>0</v>
      </c>
      <c r="N13" s="17">
        <f>'01_가정'!F38*N9</f>
        <v>0</v>
      </c>
      <c r="O13" s="17">
        <f>'01_가정'!F38*O9</f>
        <v>0</v>
      </c>
      <c r="P13" s="17">
        <f>'01_가정'!F38*P9</f>
        <v>0</v>
      </c>
      <c r="Q13" s="17">
        <f>'01_가정'!F38*Q9</f>
        <v>0</v>
      </c>
      <c r="R13" s="17">
        <f>'01_가정'!F38*R9</f>
        <v>0</v>
      </c>
      <c r="S13" s="17">
        <f>'01_가정'!F38*S9</f>
        <v>250</v>
      </c>
      <c r="T13" s="17">
        <f>'01_가정'!F38*T9</f>
        <v>375</v>
      </c>
      <c r="U13" s="17">
        <f>'01_가정'!F38*U9</f>
        <v>500</v>
      </c>
      <c r="V13" s="17">
        <f>'01_가정'!G38*V9</f>
        <v>1000</v>
      </c>
      <c r="W13" s="17">
        <f>'01_가정'!G38*W9</f>
        <v>1000</v>
      </c>
      <c r="X13" s="17">
        <f>'01_가정'!G38*X9</f>
        <v>1000</v>
      </c>
      <c r="Y13" s="17">
        <f>'01_가정'!G38*Y9</f>
        <v>1000</v>
      </c>
      <c r="Z13" s="17">
        <f>'01_가정'!G38*Z9</f>
        <v>1000</v>
      </c>
      <c r="AA13" s="17">
        <f>'01_가정'!G38*AA9</f>
        <v>1000</v>
      </c>
      <c r="AB13" s="17">
        <f>'01_가정'!G38*AB9</f>
        <v>1000</v>
      </c>
      <c r="AC13" s="17">
        <f>'01_가정'!G38*AC9</f>
        <v>1000</v>
      </c>
      <c r="AD13" s="17">
        <f>'01_가정'!G38*AD9</f>
        <v>1000</v>
      </c>
      <c r="AE13" s="17">
        <f>'01_가정'!G38*AE9</f>
        <v>1000</v>
      </c>
      <c r="AF13" s="17">
        <f>'01_가정'!G38*AF9</f>
        <v>1000</v>
      </c>
      <c r="AG13" s="17">
        <f>'01_가정'!G38*AG9</f>
        <v>1000</v>
      </c>
      <c r="AH13" s="17">
        <f>'01_가정'!H38*AH9</f>
        <v>2000</v>
      </c>
      <c r="AI13" s="17">
        <f>'01_가정'!H38*AI9</f>
        <v>2000</v>
      </c>
      <c r="AJ13" s="17">
        <f>'01_가정'!H38*AJ9</f>
        <v>2000</v>
      </c>
      <c r="AK13" s="17">
        <f>'01_가정'!H38*AK9</f>
        <v>2000</v>
      </c>
      <c r="AL13" s="17">
        <f>'01_가정'!H38*AL9</f>
        <v>2000</v>
      </c>
      <c r="AM13" s="17">
        <f>'01_가정'!H38*AM9</f>
        <v>2000</v>
      </c>
      <c r="AN13" s="17">
        <f>'01_가정'!H38*AN9</f>
        <v>2000</v>
      </c>
      <c r="AO13" s="17">
        <f>'01_가정'!H38*AO9</f>
        <v>2000</v>
      </c>
      <c r="AP13" s="17">
        <f>'01_가정'!H38*AP9</f>
        <v>2000</v>
      </c>
      <c r="AQ13" s="17">
        <f>'01_가정'!H38*AQ9</f>
        <v>2000</v>
      </c>
      <c r="AR13" s="17">
        <f>'01_가정'!H38*AR9</f>
        <v>2000</v>
      </c>
      <c r="AS13" s="17">
        <f>'01_가정'!H38*AS9</f>
        <v>2000</v>
      </c>
    </row>
    <row r="14" spans="1:45" ht="22.95" customHeight="1">
      <c r="A14" s="1"/>
      <c r="B14" s="1"/>
      <c r="C14" s="1" t="s">
        <v>219</v>
      </c>
      <c r="D14" s="1" t="s">
        <v>54</v>
      </c>
      <c r="E14" s="1"/>
      <c r="F14" s="1"/>
      <c r="G14" s="1"/>
      <c r="H14" s="1"/>
      <c r="I14" s="1"/>
      <c r="J14" s="18">
        <f>'01_가정'!F22</f>
        <v>1.4999999999999999E-2</v>
      </c>
      <c r="K14" s="18">
        <f>'01_가정'!F22</f>
        <v>1.4999999999999999E-2</v>
      </c>
      <c r="L14" s="18">
        <f>'01_가정'!F22</f>
        <v>1.4999999999999999E-2</v>
      </c>
      <c r="M14" s="18">
        <f>'01_가정'!F22</f>
        <v>1.4999999999999999E-2</v>
      </c>
      <c r="N14" s="18">
        <f>'01_가정'!F22</f>
        <v>1.4999999999999999E-2</v>
      </c>
      <c r="O14" s="18">
        <f>'01_가정'!F22</f>
        <v>1.4999999999999999E-2</v>
      </c>
      <c r="P14" s="18">
        <f>'01_가정'!F22</f>
        <v>1.4999999999999999E-2</v>
      </c>
      <c r="Q14" s="18">
        <f>'01_가정'!F22</f>
        <v>1.4999999999999999E-2</v>
      </c>
      <c r="R14" s="18">
        <f>'01_가정'!F22</f>
        <v>1.4999999999999999E-2</v>
      </c>
      <c r="S14" s="18">
        <f>'01_가정'!F22</f>
        <v>1.4999999999999999E-2</v>
      </c>
      <c r="T14" s="18">
        <f>'01_가정'!F22</f>
        <v>1.4999999999999999E-2</v>
      </c>
      <c r="U14" s="18">
        <f>'01_가정'!F22</f>
        <v>1.4999999999999999E-2</v>
      </c>
      <c r="V14" s="18">
        <f>'01_가정'!G22</f>
        <v>1.7999999999999999E-2</v>
      </c>
      <c r="W14" s="18">
        <f>'01_가정'!G22</f>
        <v>1.7999999999999999E-2</v>
      </c>
      <c r="X14" s="18">
        <f>'01_가정'!G22</f>
        <v>1.7999999999999999E-2</v>
      </c>
      <c r="Y14" s="18">
        <f>'01_가정'!G22</f>
        <v>1.7999999999999999E-2</v>
      </c>
      <c r="Z14" s="18">
        <f>'01_가정'!G22</f>
        <v>1.7999999999999999E-2</v>
      </c>
      <c r="AA14" s="18">
        <f>'01_가정'!G22</f>
        <v>1.7999999999999999E-2</v>
      </c>
      <c r="AB14" s="18">
        <f>'01_가정'!G22</f>
        <v>1.7999999999999999E-2</v>
      </c>
      <c r="AC14" s="18">
        <f>'01_가정'!G22</f>
        <v>1.7999999999999999E-2</v>
      </c>
      <c r="AD14" s="18">
        <f>'01_가정'!G22</f>
        <v>1.7999999999999999E-2</v>
      </c>
      <c r="AE14" s="18">
        <f>'01_가정'!G22</f>
        <v>1.7999999999999999E-2</v>
      </c>
      <c r="AF14" s="18">
        <f>'01_가정'!G22</f>
        <v>1.7999999999999999E-2</v>
      </c>
      <c r="AG14" s="18">
        <f>'01_가정'!G22</f>
        <v>1.7999999999999999E-2</v>
      </c>
      <c r="AH14" s="18">
        <f>'01_가정'!H22</f>
        <v>0.02</v>
      </c>
      <c r="AI14" s="18">
        <f>'01_가정'!H22</f>
        <v>0.02</v>
      </c>
      <c r="AJ14" s="18">
        <f>'01_가정'!H22</f>
        <v>0.02</v>
      </c>
      <c r="AK14" s="18">
        <f>'01_가정'!H22</f>
        <v>0.02</v>
      </c>
      <c r="AL14" s="18">
        <f>'01_가정'!H22</f>
        <v>0.02</v>
      </c>
      <c r="AM14" s="18">
        <f>'01_가정'!H22</f>
        <v>0.02</v>
      </c>
      <c r="AN14" s="18">
        <f>'01_가정'!H22</f>
        <v>0.02</v>
      </c>
      <c r="AO14" s="18">
        <f>'01_가정'!H22</f>
        <v>0.02</v>
      </c>
      <c r="AP14" s="18">
        <f>'01_가정'!H22</f>
        <v>0.02</v>
      </c>
      <c r="AQ14" s="18">
        <f>'01_가정'!H22</f>
        <v>0.02</v>
      </c>
      <c r="AR14" s="18">
        <f>'01_가정'!H22</f>
        <v>0.02</v>
      </c>
      <c r="AS14" s="18">
        <f>'01_가정'!H22</f>
        <v>0.02</v>
      </c>
    </row>
    <row r="15" spans="1:45" ht="22.95" customHeight="1">
      <c r="A15" s="1"/>
      <c r="B15" s="1"/>
      <c r="C15" s="1" t="s">
        <v>220</v>
      </c>
      <c r="D15" s="1" t="s">
        <v>9</v>
      </c>
      <c r="E15" s="1"/>
      <c r="F15" s="19">
        <f t="shared" ref="F15:F23" si="1">SUM(J15:U15)</f>
        <v>41</v>
      </c>
      <c r="G15" s="19">
        <f t="shared" ref="G15:G23" si="2">SUM(V15:AG15)</f>
        <v>588</v>
      </c>
      <c r="H15" s="19">
        <f t="shared" ref="H15:H23" si="3">SUM(AH15:AS15)</f>
        <v>1200</v>
      </c>
      <c r="I15" s="1"/>
      <c r="J15" s="19">
        <f t="shared" ref="J15:AS15" si="4">ROUNDDOWN(J12*J14,0)</f>
        <v>0</v>
      </c>
      <c r="K15" s="19">
        <f t="shared" si="4"/>
        <v>0</v>
      </c>
      <c r="L15" s="19">
        <f t="shared" si="4"/>
        <v>0</v>
      </c>
      <c r="M15" s="19">
        <f t="shared" si="4"/>
        <v>0</v>
      </c>
      <c r="N15" s="19">
        <f t="shared" si="4"/>
        <v>0</v>
      </c>
      <c r="O15" s="19">
        <f t="shared" si="4"/>
        <v>0</v>
      </c>
      <c r="P15" s="19">
        <f t="shared" si="4"/>
        <v>0</v>
      </c>
      <c r="Q15" s="19">
        <f t="shared" si="4"/>
        <v>0</v>
      </c>
      <c r="R15" s="19">
        <f t="shared" si="4"/>
        <v>0</v>
      </c>
      <c r="S15" s="19">
        <f t="shared" si="4"/>
        <v>9</v>
      </c>
      <c r="T15" s="19">
        <f t="shared" si="4"/>
        <v>14</v>
      </c>
      <c r="U15" s="19">
        <f t="shared" si="4"/>
        <v>18</v>
      </c>
      <c r="V15" s="19">
        <f t="shared" si="4"/>
        <v>49</v>
      </c>
      <c r="W15" s="19">
        <f t="shared" si="4"/>
        <v>49</v>
      </c>
      <c r="X15" s="19">
        <f t="shared" si="4"/>
        <v>49</v>
      </c>
      <c r="Y15" s="19">
        <f t="shared" si="4"/>
        <v>49</v>
      </c>
      <c r="Z15" s="19">
        <f t="shared" si="4"/>
        <v>49</v>
      </c>
      <c r="AA15" s="19">
        <f t="shared" si="4"/>
        <v>49</v>
      </c>
      <c r="AB15" s="19">
        <f t="shared" si="4"/>
        <v>49</v>
      </c>
      <c r="AC15" s="19">
        <f t="shared" si="4"/>
        <v>49</v>
      </c>
      <c r="AD15" s="19">
        <f t="shared" si="4"/>
        <v>49</v>
      </c>
      <c r="AE15" s="19">
        <f t="shared" si="4"/>
        <v>49</v>
      </c>
      <c r="AF15" s="19">
        <f t="shared" si="4"/>
        <v>49</v>
      </c>
      <c r="AG15" s="19">
        <f t="shared" si="4"/>
        <v>49</v>
      </c>
      <c r="AH15" s="19">
        <f t="shared" si="4"/>
        <v>100</v>
      </c>
      <c r="AI15" s="19">
        <f t="shared" si="4"/>
        <v>100</v>
      </c>
      <c r="AJ15" s="19">
        <f t="shared" si="4"/>
        <v>100</v>
      </c>
      <c r="AK15" s="19">
        <f t="shared" si="4"/>
        <v>100</v>
      </c>
      <c r="AL15" s="19">
        <f t="shared" si="4"/>
        <v>100</v>
      </c>
      <c r="AM15" s="19">
        <f t="shared" si="4"/>
        <v>100</v>
      </c>
      <c r="AN15" s="19">
        <f t="shared" si="4"/>
        <v>100</v>
      </c>
      <c r="AO15" s="19">
        <f t="shared" si="4"/>
        <v>100</v>
      </c>
      <c r="AP15" s="19">
        <f t="shared" si="4"/>
        <v>100</v>
      </c>
      <c r="AQ15" s="19">
        <f t="shared" si="4"/>
        <v>100</v>
      </c>
      <c r="AR15" s="19">
        <f t="shared" si="4"/>
        <v>100</v>
      </c>
      <c r="AS15" s="19">
        <f t="shared" si="4"/>
        <v>100</v>
      </c>
    </row>
    <row r="16" spans="1:45" ht="22.95" customHeight="1">
      <c r="A16" s="1"/>
      <c r="B16" s="1"/>
      <c r="C16" s="1" t="s">
        <v>221</v>
      </c>
      <c r="D16" s="1" t="s">
        <v>9</v>
      </c>
      <c r="E16" s="1"/>
      <c r="F16" s="19">
        <f t="shared" si="1"/>
        <v>15</v>
      </c>
      <c r="G16" s="19">
        <f t="shared" si="2"/>
        <v>216</v>
      </c>
      <c r="H16" s="19">
        <f t="shared" si="3"/>
        <v>480</v>
      </c>
      <c r="I16" s="1"/>
      <c r="J16" s="19">
        <f t="shared" ref="J16:AS16" si="5">ROUNDDOWN(J13*J14,0)</f>
        <v>0</v>
      </c>
      <c r="K16" s="19">
        <f t="shared" si="5"/>
        <v>0</v>
      </c>
      <c r="L16" s="19">
        <f t="shared" si="5"/>
        <v>0</v>
      </c>
      <c r="M16" s="19">
        <f t="shared" si="5"/>
        <v>0</v>
      </c>
      <c r="N16" s="19">
        <f t="shared" si="5"/>
        <v>0</v>
      </c>
      <c r="O16" s="19">
        <f t="shared" si="5"/>
        <v>0</v>
      </c>
      <c r="P16" s="19">
        <f t="shared" si="5"/>
        <v>0</v>
      </c>
      <c r="Q16" s="19">
        <f t="shared" si="5"/>
        <v>0</v>
      </c>
      <c r="R16" s="19">
        <f t="shared" si="5"/>
        <v>0</v>
      </c>
      <c r="S16" s="19">
        <f t="shared" si="5"/>
        <v>3</v>
      </c>
      <c r="T16" s="19">
        <f t="shared" si="5"/>
        <v>5</v>
      </c>
      <c r="U16" s="19">
        <f t="shared" si="5"/>
        <v>7</v>
      </c>
      <c r="V16" s="19">
        <f t="shared" si="5"/>
        <v>18</v>
      </c>
      <c r="W16" s="19">
        <f t="shared" si="5"/>
        <v>18</v>
      </c>
      <c r="X16" s="19">
        <f t="shared" si="5"/>
        <v>18</v>
      </c>
      <c r="Y16" s="19">
        <f t="shared" si="5"/>
        <v>18</v>
      </c>
      <c r="Z16" s="19">
        <f t="shared" si="5"/>
        <v>18</v>
      </c>
      <c r="AA16" s="19">
        <f t="shared" si="5"/>
        <v>18</v>
      </c>
      <c r="AB16" s="19">
        <f t="shared" si="5"/>
        <v>18</v>
      </c>
      <c r="AC16" s="19">
        <f t="shared" si="5"/>
        <v>18</v>
      </c>
      <c r="AD16" s="19">
        <f t="shared" si="5"/>
        <v>18</v>
      </c>
      <c r="AE16" s="19">
        <f t="shared" si="5"/>
        <v>18</v>
      </c>
      <c r="AF16" s="19">
        <f t="shared" si="5"/>
        <v>18</v>
      </c>
      <c r="AG16" s="19">
        <f t="shared" si="5"/>
        <v>18</v>
      </c>
      <c r="AH16" s="19">
        <f t="shared" si="5"/>
        <v>40</v>
      </c>
      <c r="AI16" s="19">
        <f t="shared" si="5"/>
        <v>40</v>
      </c>
      <c r="AJ16" s="19">
        <f t="shared" si="5"/>
        <v>40</v>
      </c>
      <c r="AK16" s="19">
        <f t="shared" si="5"/>
        <v>40</v>
      </c>
      <c r="AL16" s="19">
        <f t="shared" si="5"/>
        <v>40</v>
      </c>
      <c r="AM16" s="19">
        <f t="shared" si="5"/>
        <v>40</v>
      </c>
      <c r="AN16" s="19">
        <f t="shared" si="5"/>
        <v>40</v>
      </c>
      <c r="AO16" s="19">
        <f t="shared" si="5"/>
        <v>40</v>
      </c>
      <c r="AP16" s="19">
        <f t="shared" si="5"/>
        <v>40</v>
      </c>
      <c r="AQ16" s="19">
        <f t="shared" si="5"/>
        <v>40</v>
      </c>
      <c r="AR16" s="19">
        <f t="shared" si="5"/>
        <v>40</v>
      </c>
      <c r="AS16" s="19">
        <f t="shared" si="5"/>
        <v>40</v>
      </c>
    </row>
    <row r="17" spans="1:45" ht="22.95" customHeight="1">
      <c r="A17" s="1"/>
      <c r="B17" s="1"/>
      <c r="C17" s="1" t="s">
        <v>222</v>
      </c>
      <c r="D17" s="1" t="s">
        <v>9</v>
      </c>
      <c r="E17" s="1"/>
      <c r="F17" s="19">
        <f t="shared" si="1"/>
        <v>56</v>
      </c>
      <c r="G17" s="19">
        <f t="shared" si="2"/>
        <v>804</v>
      </c>
      <c r="H17" s="19">
        <f t="shared" si="3"/>
        <v>1680</v>
      </c>
      <c r="I17" s="1"/>
      <c r="J17" s="19">
        <f t="shared" ref="J17:AS17" si="6">SUM(J15:J16)</f>
        <v>0</v>
      </c>
      <c r="K17" s="19">
        <f t="shared" si="6"/>
        <v>0</v>
      </c>
      <c r="L17" s="19">
        <f t="shared" si="6"/>
        <v>0</v>
      </c>
      <c r="M17" s="19">
        <f t="shared" si="6"/>
        <v>0</v>
      </c>
      <c r="N17" s="19">
        <f t="shared" si="6"/>
        <v>0</v>
      </c>
      <c r="O17" s="19">
        <f t="shared" si="6"/>
        <v>0</v>
      </c>
      <c r="P17" s="19">
        <f t="shared" si="6"/>
        <v>0</v>
      </c>
      <c r="Q17" s="19">
        <f t="shared" si="6"/>
        <v>0</v>
      </c>
      <c r="R17" s="19">
        <f t="shared" si="6"/>
        <v>0</v>
      </c>
      <c r="S17" s="19">
        <f t="shared" si="6"/>
        <v>12</v>
      </c>
      <c r="T17" s="19">
        <f t="shared" si="6"/>
        <v>19</v>
      </c>
      <c r="U17" s="19">
        <f t="shared" si="6"/>
        <v>25</v>
      </c>
      <c r="V17" s="19">
        <f t="shared" si="6"/>
        <v>67</v>
      </c>
      <c r="W17" s="19">
        <f t="shared" si="6"/>
        <v>67</v>
      </c>
      <c r="X17" s="19">
        <f t="shared" si="6"/>
        <v>67</v>
      </c>
      <c r="Y17" s="19">
        <f t="shared" si="6"/>
        <v>67</v>
      </c>
      <c r="Z17" s="19">
        <f t="shared" si="6"/>
        <v>67</v>
      </c>
      <c r="AA17" s="19">
        <f t="shared" si="6"/>
        <v>67</v>
      </c>
      <c r="AB17" s="19">
        <f t="shared" si="6"/>
        <v>67</v>
      </c>
      <c r="AC17" s="19">
        <f t="shared" si="6"/>
        <v>67</v>
      </c>
      <c r="AD17" s="19">
        <f t="shared" si="6"/>
        <v>67</v>
      </c>
      <c r="AE17" s="19">
        <f t="shared" si="6"/>
        <v>67</v>
      </c>
      <c r="AF17" s="19">
        <f t="shared" si="6"/>
        <v>67</v>
      </c>
      <c r="AG17" s="19">
        <f t="shared" si="6"/>
        <v>67</v>
      </c>
      <c r="AH17" s="19">
        <f t="shared" si="6"/>
        <v>140</v>
      </c>
      <c r="AI17" s="19">
        <f t="shared" si="6"/>
        <v>140</v>
      </c>
      <c r="AJ17" s="19">
        <f t="shared" si="6"/>
        <v>140</v>
      </c>
      <c r="AK17" s="19">
        <f t="shared" si="6"/>
        <v>140</v>
      </c>
      <c r="AL17" s="19">
        <f t="shared" si="6"/>
        <v>140</v>
      </c>
      <c r="AM17" s="19">
        <f t="shared" si="6"/>
        <v>140</v>
      </c>
      <c r="AN17" s="19">
        <f t="shared" si="6"/>
        <v>140</v>
      </c>
      <c r="AO17" s="19">
        <f t="shared" si="6"/>
        <v>140</v>
      </c>
      <c r="AP17" s="19">
        <f t="shared" si="6"/>
        <v>140</v>
      </c>
      <c r="AQ17" s="19">
        <f t="shared" si="6"/>
        <v>140</v>
      </c>
      <c r="AR17" s="19">
        <f t="shared" si="6"/>
        <v>140</v>
      </c>
      <c r="AS17" s="19">
        <f t="shared" si="6"/>
        <v>140</v>
      </c>
    </row>
    <row r="18" spans="1:45" ht="22.95" customHeight="1">
      <c r="A18" s="1"/>
      <c r="B18" s="1"/>
      <c r="C18" s="1" t="s">
        <v>223</v>
      </c>
      <c r="D18" s="1" t="s">
        <v>9</v>
      </c>
      <c r="E18" s="1"/>
      <c r="F18" s="19">
        <f t="shared" si="1"/>
        <v>0</v>
      </c>
      <c r="G18" s="19">
        <f t="shared" si="2"/>
        <v>0</v>
      </c>
      <c r="H18" s="19">
        <f t="shared" si="3"/>
        <v>0</v>
      </c>
      <c r="I18" s="1"/>
      <c r="J18" s="17">
        <f>ROUNDDOWN('01_가정'!F50*J9*'01_가정'!$F$95,0)</f>
        <v>0</v>
      </c>
      <c r="K18" s="17">
        <f>ROUNDDOWN('01_가정'!F50*K9*'01_가정'!$F$95,0)</f>
        <v>0</v>
      </c>
      <c r="L18" s="17">
        <f>ROUNDDOWN('01_가정'!F50*L9*'01_가정'!$F$95,0)</f>
        <v>0</v>
      </c>
      <c r="M18" s="17">
        <f>ROUNDDOWN('01_가정'!F50*M9*'01_가정'!$F$95,0)</f>
        <v>0</v>
      </c>
      <c r="N18" s="17">
        <f>ROUNDDOWN('01_가정'!F50*N9*'01_가정'!$F$95,0)</f>
        <v>0</v>
      </c>
      <c r="O18" s="17">
        <f>ROUNDDOWN('01_가정'!F50*O9*'01_가정'!$F$95,0)</f>
        <v>0</v>
      </c>
      <c r="P18" s="17">
        <f>ROUNDDOWN('01_가정'!F50*P9*'01_가정'!$F$95,0)</f>
        <v>0</v>
      </c>
      <c r="Q18" s="17">
        <f>ROUNDDOWN('01_가정'!F50*Q9*'01_가정'!$F$95,0)</f>
        <v>0</v>
      </c>
      <c r="R18" s="17">
        <f>ROUNDDOWN('01_가정'!F50*R9*'01_가정'!$F$95,0)</f>
        <v>0</v>
      </c>
      <c r="S18" s="17">
        <f>ROUNDDOWN('01_가정'!F50*S9*'01_가정'!$F$95,0)</f>
        <v>0</v>
      </c>
      <c r="T18" s="17">
        <f>ROUNDDOWN('01_가정'!F50*T9*'01_가정'!$F$95,0)</f>
        <v>0</v>
      </c>
      <c r="U18" s="17">
        <f>ROUNDDOWN('01_가정'!F50*U9*'01_가정'!$F$95,0)</f>
        <v>0</v>
      </c>
      <c r="V18" s="17">
        <f>ROUNDDOWN('01_가정'!G50*V9*'01_가정'!$F$95,0)</f>
        <v>0</v>
      </c>
      <c r="W18" s="17">
        <f>ROUNDDOWN('01_가정'!G50*W9*'01_가정'!$F$95,0)</f>
        <v>0</v>
      </c>
      <c r="X18" s="17">
        <f>ROUNDDOWN('01_가정'!G50*X9*'01_가정'!$F$95,0)</f>
        <v>0</v>
      </c>
      <c r="Y18" s="17">
        <f>ROUNDDOWN('01_가정'!G50*Y9*'01_가정'!$F$95,0)</f>
        <v>0</v>
      </c>
      <c r="Z18" s="17">
        <f>ROUNDDOWN('01_가정'!G50*Z9*'01_가정'!$F$95,0)</f>
        <v>0</v>
      </c>
      <c r="AA18" s="17">
        <f>ROUNDDOWN('01_가정'!G50*AA9*'01_가정'!$F$95,0)</f>
        <v>0</v>
      </c>
      <c r="AB18" s="17">
        <f>ROUNDDOWN('01_가정'!G50*AB9*'01_가정'!$F$95,0)</f>
        <v>0</v>
      </c>
      <c r="AC18" s="17">
        <f>ROUNDDOWN('01_가정'!G50*AC9*'01_가정'!$F$95,0)</f>
        <v>0</v>
      </c>
      <c r="AD18" s="17">
        <f>ROUNDDOWN('01_가정'!G50*AD9*'01_가정'!$F$95,0)</f>
        <v>0</v>
      </c>
      <c r="AE18" s="17">
        <f>ROUNDDOWN('01_가정'!G50*AE9*'01_가정'!$F$95,0)</f>
        <v>0</v>
      </c>
      <c r="AF18" s="17">
        <f>ROUNDDOWN('01_가정'!G50*AF9*'01_가정'!$F$95,0)</f>
        <v>0</v>
      </c>
      <c r="AG18" s="17">
        <f>ROUNDDOWN('01_가정'!G50*AG9*'01_가정'!$F$95,0)</f>
        <v>0</v>
      </c>
      <c r="AH18" s="17">
        <f>ROUNDDOWN('01_가정'!H50*AH9*'01_가정'!$F$95,0)</f>
        <v>0</v>
      </c>
      <c r="AI18" s="17">
        <f>ROUNDDOWN('01_가정'!H50*AI9*'01_가정'!$F$95,0)</f>
        <v>0</v>
      </c>
      <c r="AJ18" s="17">
        <f>ROUNDDOWN('01_가정'!H50*AJ9*'01_가정'!$F$95,0)</f>
        <v>0</v>
      </c>
      <c r="AK18" s="17">
        <f>ROUNDDOWN('01_가정'!H50*AK9*'01_가정'!$F$95,0)</f>
        <v>0</v>
      </c>
      <c r="AL18" s="17">
        <f>ROUNDDOWN('01_가정'!H50*AL9*'01_가정'!$F$95,0)</f>
        <v>0</v>
      </c>
      <c r="AM18" s="17">
        <f>ROUNDDOWN('01_가정'!H50*AM9*'01_가정'!$F$95,0)</f>
        <v>0</v>
      </c>
      <c r="AN18" s="17">
        <f>ROUNDDOWN('01_가정'!H50*AN9*'01_가정'!$F$95,0)</f>
        <v>0</v>
      </c>
      <c r="AO18" s="17">
        <f>ROUNDDOWN('01_가정'!H50*AO9*'01_가정'!$F$95,0)</f>
        <v>0</v>
      </c>
      <c r="AP18" s="17">
        <f>ROUNDDOWN('01_가정'!H50*AP9*'01_가정'!$F$95,0)</f>
        <v>0</v>
      </c>
      <c r="AQ18" s="17">
        <f>ROUNDDOWN('01_가정'!H50*AQ9*'01_가정'!$F$95,0)</f>
        <v>0</v>
      </c>
      <c r="AR18" s="17">
        <f>ROUNDDOWN('01_가정'!H50*AR9*'01_가정'!$F$95,0)</f>
        <v>0</v>
      </c>
      <c r="AS18" s="17">
        <f>ROUNDDOWN('01_가정'!H50*AS9*'01_가정'!$F$95,0)</f>
        <v>0</v>
      </c>
    </row>
    <row r="19" spans="1:45" ht="22.95" customHeight="1">
      <c r="A19" s="1"/>
      <c r="B19" s="1"/>
      <c r="C19" s="8" t="s">
        <v>224</v>
      </c>
      <c r="D19" s="8" t="s">
        <v>9</v>
      </c>
      <c r="E19" s="8"/>
      <c r="F19" s="9">
        <f t="shared" si="1"/>
        <v>56</v>
      </c>
      <c r="G19" s="9">
        <f t="shared" si="2"/>
        <v>804</v>
      </c>
      <c r="H19" s="9">
        <f t="shared" si="3"/>
        <v>1680</v>
      </c>
      <c r="I19" s="8"/>
      <c r="J19" s="9">
        <f t="shared" ref="J19:AS19" si="7">SUM(J17:J18)</f>
        <v>0</v>
      </c>
      <c r="K19" s="9">
        <f t="shared" si="7"/>
        <v>0</v>
      </c>
      <c r="L19" s="9">
        <f t="shared" si="7"/>
        <v>0</v>
      </c>
      <c r="M19" s="9">
        <f t="shared" si="7"/>
        <v>0</v>
      </c>
      <c r="N19" s="9">
        <f t="shared" si="7"/>
        <v>0</v>
      </c>
      <c r="O19" s="9">
        <f t="shared" si="7"/>
        <v>0</v>
      </c>
      <c r="P19" s="9">
        <f t="shared" si="7"/>
        <v>0</v>
      </c>
      <c r="Q19" s="9">
        <f t="shared" si="7"/>
        <v>0</v>
      </c>
      <c r="R19" s="9">
        <f t="shared" si="7"/>
        <v>0</v>
      </c>
      <c r="S19" s="9">
        <f t="shared" si="7"/>
        <v>12</v>
      </c>
      <c r="T19" s="9">
        <f t="shared" si="7"/>
        <v>19</v>
      </c>
      <c r="U19" s="9">
        <f t="shared" si="7"/>
        <v>25</v>
      </c>
      <c r="V19" s="9">
        <f t="shared" si="7"/>
        <v>67</v>
      </c>
      <c r="W19" s="9">
        <f t="shared" si="7"/>
        <v>67</v>
      </c>
      <c r="X19" s="9">
        <f t="shared" si="7"/>
        <v>67</v>
      </c>
      <c r="Y19" s="9">
        <f t="shared" si="7"/>
        <v>67</v>
      </c>
      <c r="Z19" s="9">
        <f t="shared" si="7"/>
        <v>67</v>
      </c>
      <c r="AA19" s="9">
        <f t="shared" si="7"/>
        <v>67</v>
      </c>
      <c r="AB19" s="9">
        <f t="shared" si="7"/>
        <v>67</v>
      </c>
      <c r="AC19" s="9">
        <f t="shared" si="7"/>
        <v>67</v>
      </c>
      <c r="AD19" s="9">
        <f t="shared" si="7"/>
        <v>67</v>
      </c>
      <c r="AE19" s="9">
        <f t="shared" si="7"/>
        <v>67</v>
      </c>
      <c r="AF19" s="9">
        <f t="shared" si="7"/>
        <v>67</v>
      </c>
      <c r="AG19" s="9">
        <f t="shared" si="7"/>
        <v>67</v>
      </c>
      <c r="AH19" s="9">
        <f t="shared" si="7"/>
        <v>140</v>
      </c>
      <c r="AI19" s="9">
        <f t="shared" si="7"/>
        <v>140</v>
      </c>
      <c r="AJ19" s="9">
        <f t="shared" si="7"/>
        <v>140</v>
      </c>
      <c r="AK19" s="9">
        <f t="shared" si="7"/>
        <v>140</v>
      </c>
      <c r="AL19" s="9">
        <f t="shared" si="7"/>
        <v>140</v>
      </c>
      <c r="AM19" s="9">
        <f t="shared" si="7"/>
        <v>140</v>
      </c>
      <c r="AN19" s="9">
        <f t="shared" si="7"/>
        <v>140</v>
      </c>
      <c r="AO19" s="9">
        <f t="shared" si="7"/>
        <v>140</v>
      </c>
      <c r="AP19" s="9">
        <f t="shared" si="7"/>
        <v>140</v>
      </c>
      <c r="AQ19" s="9">
        <f t="shared" si="7"/>
        <v>140</v>
      </c>
      <c r="AR19" s="9">
        <f t="shared" si="7"/>
        <v>140</v>
      </c>
      <c r="AS19" s="9">
        <f t="shared" si="7"/>
        <v>140</v>
      </c>
    </row>
    <row r="20" spans="1:45" ht="22.95" customHeight="1">
      <c r="A20" s="1"/>
      <c r="B20" s="1"/>
      <c r="C20" s="1" t="s">
        <v>225</v>
      </c>
      <c r="D20" s="1" t="s">
        <v>9</v>
      </c>
      <c r="E20" s="1"/>
      <c r="F20" s="19">
        <f t="shared" si="1"/>
        <v>8.4</v>
      </c>
      <c r="G20" s="19">
        <f t="shared" si="2"/>
        <v>96.479999999999961</v>
      </c>
      <c r="H20" s="19">
        <f t="shared" si="3"/>
        <v>168</v>
      </c>
      <c r="I20" s="1"/>
      <c r="J20" s="17">
        <f>J17*'01_가정'!F26</f>
        <v>0</v>
      </c>
      <c r="K20" s="17">
        <f>K17*'01_가정'!F26</f>
        <v>0</v>
      </c>
      <c r="L20" s="17">
        <f>L17*'01_가정'!F26</f>
        <v>0</v>
      </c>
      <c r="M20" s="17">
        <f>M17*'01_가정'!F26</f>
        <v>0</v>
      </c>
      <c r="N20" s="17">
        <f>N17*'01_가정'!F26</f>
        <v>0</v>
      </c>
      <c r="O20" s="17">
        <f>O17*'01_가정'!F26</f>
        <v>0</v>
      </c>
      <c r="P20" s="17">
        <f>P17*'01_가정'!F26</f>
        <v>0</v>
      </c>
      <c r="Q20" s="17">
        <f>Q17*'01_가정'!F26</f>
        <v>0</v>
      </c>
      <c r="R20" s="17">
        <f>R17*'01_가정'!F26</f>
        <v>0</v>
      </c>
      <c r="S20" s="17">
        <f>S17*'01_가정'!F26</f>
        <v>1.7999999999999998</v>
      </c>
      <c r="T20" s="17">
        <f>T17*'01_가정'!F26</f>
        <v>2.85</v>
      </c>
      <c r="U20" s="17">
        <f>U17*'01_가정'!F26</f>
        <v>3.75</v>
      </c>
      <c r="V20" s="17">
        <f>V17*'01_가정'!G26</f>
        <v>8.0399999999999991</v>
      </c>
      <c r="W20" s="17">
        <f>W17*'01_가정'!G26</f>
        <v>8.0399999999999991</v>
      </c>
      <c r="X20" s="17">
        <f>X17*'01_가정'!G26</f>
        <v>8.0399999999999991</v>
      </c>
      <c r="Y20" s="17">
        <f>Y17*'01_가정'!G26</f>
        <v>8.0399999999999991</v>
      </c>
      <c r="Z20" s="17">
        <f>Z17*'01_가정'!G26</f>
        <v>8.0399999999999991</v>
      </c>
      <c r="AA20" s="17">
        <f>AA17*'01_가정'!G26</f>
        <v>8.0399999999999991</v>
      </c>
      <c r="AB20" s="17">
        <f>AB17*'01_가정'!G26</f>
        <v>8.0399999999999991</v>
      </c>
      <c r="AC20" s="17">
        <f>AC17*'01_가정'!G26</f>
        <v>8.0399999999999991</v>
      </c>
      <c r="AD20" s="17">
        <f>AD17*'01_가정'!G26</f>
        <v>8.0399999999999991</v>
      </c>
      <c r="AE20" s="17">
        <f>AE17*'01_가정'!G26</f>
        <v>8.0399999999999991</v>
      </c>
      <c r="AF20" s="17">
        <f>AF17*'01_가정'!G26</f>
        <v>8.0399999999999991</v>
      </c>
      <c r="AG20" s="17">
        <f>AG17*'01_가정'!G26</f>
        <v>8.0399999999999991</v>
      </c>
      <c r="AH20" s="17">
        <f>AH17*'01_가정'!H26</f>
        <v>14</v>
      </c>
      <c r="AI20" s="17">
        <f>AI17*'01_가정'!H26</f>
        <v>14</v>
      </c>
      <c r="AJ20" s="17">
        <f>AJ17*'01_가정'!H26</f>
        <v>14</v>
      </c>
      <c r="AK20" s="17">
        <f>AK17*'01_가정'!H26</f>
        <v>14</v>
      </c>
      <c r="AL20" s="17">
        <f>AL17*'01_가정'!H26</f>
        <v>14</v>
      </c>
      <c r="AM20" s="17">
        <f>AM17*'01_가정'!H26</f>
        <v>14</v>
      </c>
      <c r="AN20" s="17">
        <f>AN17*'01_가정'!H26</f>
        <v>14</v>
      </c>
      <c r="AO20" s="17">
        <f>AO17*'01_가정'!H26</f>
        <v>14</v>
      </c>
      <c r="AP20" s="17">
        <f>AP17*'01_가정'!H26</f>
        <v>14</v>
      </c>
      <c r="AQ20" s="17">
        <f>AQ17*'01_가정'!H26</f>
        <v>14</v>
      </c>
      <c r="AR20" s="17">
        <f>AR17*'01_가정'!H26</f>
        <v>14</v>
      </c>
      <c r="AS20" s="17">
        <f>AS17*'01_가정'!H26</f>
        <v>14</v>
      </c>
    </row>
    <row r="21" spans="1:45" ht="22.95" customHeight="1">
      <c r="A21" s="1"/>
      <c r="B21" s="1"/>
      <c r="C21" s="1" t="s">
        <v>226</v>
      </c>
      <c r="D21" s="1" t="s">
        <v>63</v>
      </c>
      <c r="E21" s="1"/>
      <c r="F21" s="19">
        <f t="shared" si="1"/>
        <v>47.599999999999994</v>
      </c>
      <c r="G21" s="19">
        <f t="shared" si="2"/>
        <v>707.5200000000001</v>
      </c>
      <c r="H21" s="19">
        <f t="shared" si="3"/>
        <v>1512</v>
      </c>
      <c r="I21" s="1"/>
      <c r="J21" s="19">
        <f t="shared" ref="J21:AS21" si="8">J17-J20</f>
        <v>0</v>
      </c>
      <c r="K21" s="19">
        <f t="shared" si="8"/>
        <v>0</v>
      </c>
      <c r="L21" s="19">
        <f t="shared" si="8"/>
        <v>0</v>
      </c>
      <c r="M21" s="19">
        <f t="shared" si="8"/>
        <v>0</v>
      </c>
      <c r="N21" s="19">
        <f t="shared" si="8"/>
        <v>0</v>
      </c>
      <c r="O21" s="19">
        <f t="shared" si="8"/>
        <v>0</v>
      </c>
      <c r="P21" s="19">
        <f t="shared" si="8"/>
        <v>0</v>
      </c>
      <c r="Q21" s="19">
        <f t="shared" si="8"/>
        <v>0</v>
      </c>
      <c r="R21" s="19">
        <f t="shared" si="8"/>
        <v>0</v>
      </c>
      <c r="S21" s="19">
        <f t="shared" si="8"/>
        <v>10.199999999999999</v>
      </c>
      <c r="T21" s="19">
        <f t="shared" si="8"/>
        <v>16.149999999999999</v>
      </c>
      <c r="U21" s="19">
        <f t="shared" si="8"/>
        <v>21.25</v>
      </c>
      <c r="V21" s="19">
        <f t="shared" si="8"/>
        <v>58.96</v>
      </c>
      <c r="W21" s="19">
        <f t="shared" si="8"/>
        <v>58.96</v>
      </c>
      <c r="X21" s="19">
        <f t="shared" si="8"/>
        <v>58.96</v>
      </c>
      <c r="Y21" s="19">
        <f t="shared" si="8"/>
        <v>58.96</v>
      </c>
      <c r="Z21" s="19">
        <f t="shared" si="8"/>
        <v>58.96</v>
      </c>
      <c r="AA21" s="19">
        <f t="shared" si="8"/>
        <v>58.96</v>
      </c>
      <c r="AB21" s="19">
        <f t="shared" si="8"/>
        <v>58.96</v>
      </c>
      <c r="AC21" s="19">
        <f t="shared" si="8"/>
        <v>58.96</v>
      </c>
      <c r="AD21" s="19">
        <f t="shared" si="8"/>
        <v>58.96</v>
      </c>
      <c r="AE21" s="19">
        <f t="shared" si="8"/>
        <v>58.96</v>
      </c>
      <c r="AF21" s="19">
        <f t="shared" si="8"/>
        <v>58.96</v>
      </c>
      <c r="AG21" s="19">
        <f t="shared" si="8"/>
        <v>58.96</v>
      </c>
      <c r="AH21" s="19">
        <f t="shared" si="8"/>
        <v>126</v>
      </c>
      <c r="AI21" s="19">
        <f t="shared" si="8"/>
        <v>126</v>
      </c>
      <c r="AJ21" s="19">
        <f t="shared" si="8"/>
        <v>126</v>
      </c>
      <c r="AK21" s="19">
        <f t="shared" si="8"/>
        <v>126</v>
      </c>
      <c r="AL21" s="19">
        <f t="shared" si="8"/>
        <v>126</v>
      </c>
      <c r="AM21" s="19">
        <f t="shared" si="8"/>
        <v>126</v>
      </c>
      <c r="AN21" s="19">
        <f t="shared" si="8"/>
        <v>126</v>
      </c>
      <c r="AO21" s="19">
        <f t="shared" si="8"/>
        <v>126</v>
      </c>
      <c r="AP21" s="19">
        <f t="shared" si="8"/>
        <v>126</v>
      </c>
      <c r="AQ21" s="19">
        <f t="shared" si="8"/>
        <v>126</v>
      </c>
      <c r="AR21" s="19">
        <f t="shared" si="8"/>
        <v>126</v>
      </c>
      <c r="AS21" s="19">
        <f t="shared" si="8"/>
        <v>126</v>
      </c>
    </row>
    <row r="22" spans="1:45" ht="22.95" customHeight="1">
      <c r="A22" s="1"/>
      <c r="B22" s="1"/>
      <c r="C22" s="1" t="s">
        <v>227</v>
      </c>
      <c r="D22" s="1" t="s">
        <v>9</v>
      </c>
      <c r="E22" s="1"/>
      <c r="F22" s="19">
        <f t="shared" si="1"/>
        <v>0</v>
      </c>
      <c r="G22" s="19">
        <f t="shared" si="2"/>
        <v>0</v>
      </c>
      <c r="H22" s="19">
        <f t="shared" si="3"/>
        <v>0</v>
      </c>
      <c r="I22" s="1"/>
      <c r="J22" s="17">
        <f>J18*'01_가정'!$F$98</f>
        <v>0</v>
      </c>
      <c r="K22" s="17">
        <f>K18*'01_가정'!$F$98</f>
        <v>0</v>
      </c>
      <c r="L22" s="17">
        <f>L18*'01_가정'!$F$98</f>
        <v>0</v>
      </c>
      <c r="M22" s="17">
        <f>M18*'01_가정'!$F$98</f>
        <v>0</v>
      </c>
      <c r="N22" s="17">
        <f>N18*'01_가정'!$F$98</f>
        <v>0</v>
      </c>
      <c r="O22" s="17">
        <f>O18*'01_가정'!$F$98</f>
        <v>0</v>
      </c>
      <c r="P22" s="17">
        <f>P18*'01_가정'!$F$98</f>
        <v>0</v>
      </c>
      <c r="Q22" s="17">
        <f>Q18*'01_가정'!$F$98</f>
        <v>0</v>
      </c>
      <c r="R22" s="17">
        <f>R18*'01_가정'!$F$98</f>
        <v>0</v>
      </c>
      <c r="S22" s="17">
        <f>S18*'01_가정'!$F$98</f>
        <v>0</v>
      </c>
      <c r="T22" s="17">
        <f>T18*'01_가정'!$F$98</f>
        <v>0</v>
      </c>
      <c r="U22" s="17">
        <f>U18*'01_가정'!$F$98</f>
        <v>0</v>
      </c>
      <c r="V22" s="17">
        <f>V18*'01_가정'!$F$98</f>
        <v>0</v>
      </c>
      <c r="W22" s="17">
        <f>W18*'01_가정'!$F$98</f>
        <v>0</v>
      </c>
      <c r="X22" s="17">
        <f>X18*'01_가정'!$F$98</f>
        <v>0</v>
      </c>
      <c r="Y22" s="17">
        <f>Y18*'01_가정'!$F$98</f>
        <v>0</v>
      </c>
      <c r="Z22" s="17">
        <f>Z18*'01_가정'!$F$98</f>
        <v>0</v>
      </c>
      <c r="AA22" s="17">
        <f>AA18*'01_가정'!$F$98</f>
        <v>0</v>
      </c>
      <c r="AB22" s="17">
        <f>AB18*'01_가정'!$F$98</f>
        <v>0</v>
      </c>
      <c r="AC22" s="17">
        <f>AC18*'01_가정'!$F$98</f>
        <v>0</v>
      </c>
      <c r="AD22" s="17">
        <f>AD18*'01_가정'!$F$98</f>
        <v>0</v>
      </c>
      <c r="AE22" s="17">
        <f>AE18*'01_가정'!$F$98</f>
        <v>0</v>
      </c>
      <c r="AF22" s="17">
        <f>AF18*'01_가정'!$F$98</f>
        <v>0</v>
      </c>
      <c r="AG22" s="17">
        <f>AG18*'01_가정'!$F$98</f>
        <v>0</v>
      </c>
      <c r="AH22" s="17">
        <f>AH18*'01_가정'!$F$98</f>
        <v>0</v>
      </c>
      <c r="AI22" s="17">
        <f>AI18*'01_가정'!$F$98</f>
        <v>0</v>
      </c>
      <c r="AJ22" s="17">
        <f>AJ18*'01_가정'!$F$98</f>
        <v>0</v>
      </c>
      <c r="AK22" s="17">
        <f>AK18*'01_가정'!$F$98</f>
        <v>0</v>
      </c>
      <c r="AL22" s="17">
        <f>AL18*'01_가정'!$F$98</f>
        <v>0</v>
      </c>
      <c r="AM22" s="17">
        <f>AM18*'01_가정'!$F$98</f>
        <v>0</v>
      </c>
      <c r="AN22" s="17">
        <f>AN18*'01_가정'!$F$98</f>
        <v>0</v>
      </c>
      <c r="AO22" s="17">
        <f>AO18*'01_가정'!$F$98</f>
        <v>0</v>
      </c>
      <c r="AP22" s="17">
        <f>AP18*'01_가정'!$F$98</f>
        <v>0</v>
      </c>
      <c r="AQ22" s="17">
        <f>AQ18*'01_가정'!$F$98</f>
        <v>0</v>
      </c>
      <c r="AR22" s="17">
        <f>AR18*'01_가정'!$F$98</f>
        <v>0</v>
      </c>
      <c r="AS22" s="17">
        <f>AS18*'01_가정'!$F$98</f>
        <v>0</v>
      </c>
    </row>
    <row r="23" spans="1:45" ht="22.95" customHeight="1">
      <c r="A23" s="1"/>
      <c r="B23" s="1"/>
      <c r="C23" s="1" t="s">
        <v>228</v>
      </c>
      <c r="D23" s="1" t="s">
        <v>63</v>
      </c>
      <c r="E23" s="1"/>
      <c r="F23" s="19">
        <f t="shared" si="1"/>
        <v>47.599999999999994</v>
      </c>
      <c r="G23" s="19">
        <f t="shared" si="2"/>
        <v>707.5200000000001</v>
      </c>
      <c r="H23" s="19">
        <f t="shared" si="3"/>
        <v>1512</v>
      </c>
      <c r="I23" s="1"/>
      <c r="J23" s="19">
        <f t="shared" ref="J23:AS23" si="9">J21+J18-J22</f>
        <v>0</v>
      </c>
      <c r="K23" s="19">
        <f t="shared" si="9"/>
        <v>0</v>
      </c>
      <c r="L23" s="19">
        <f t="shared" si="9"/>
        <v>0</v>
      </c>
      <c r="M23" s="19">
        <f t="shared" si="9"/>
        <v>0</v>
      </c>
      <c r="N23" s="19">
        <f t="shared" si="9"/>
        <v>0</v>
      </c>
      <c r="O23" s="19">
        <f t="shared" si="9"/>
        <v>0</v>
      </c>
      <c r="P23" s="19">
        <f t="shared" si="9"/>
        <v>0</v>
      </c>
      <c r="Q23" s="19">
        <f t="shared" si="9"/>
        <v>0</v>
      </c>
      <c r="R23" s="19">
        <f t="shared" si="9"/>
        <v>0</v>
      </c>
      <c r="S23" s="19">
        <f t="shared" si="9"/>
        <v>10.199999999999999</v>
      </c>
      <c r="T23" s="19">
        <f t="shared" si="9"/>
        <v>16.149999999999999</v>
      </c>
      <c r="U23" s="19">
        <f t="shared" si="9"/>
        <v>21.25</v>
      </c>
      <c r="V23" s="19">
        <f t="shared" si="9"/>
        <v>58.96</v>
      </c>
      <c r="W23" s="19">
        <f t="shared" si="9"/>
        <v>58.96</v>
      </c>
      <c r="X23" s="19">
        <f t="shared" si="9"/>
        <v>58.96</v>
      </c>
      <c r="Y23" s="19">
        <f t="shared" si="9"/>
        <v>58.96</v>
      </c>
      <c r="Z23" s="19">
        <f t="shared" si="9"/>
        <v>58.96</v>
      </c>
      <c r="AA23" s="19">
        <f t="shared" si="9"/>
        <v>58.96</v>
      </c>
      <c r="AB23" s="19">
        <f t="shared" si="9"/>
        <v>58.96</v>
      </c>
      <c r="AC23" s="19">
        <f t="shared" si="9"/>
        <v>58.96</v>
      </c>
      <c r="AD23" s="19">
        <f t="shared" si="9"/>
        <v>58.96</v>
      </c>
      <c r="AE23" s="19">
        <f t="shared" si="9"/>
        <v>58.96</v>
      </c>
      <c r="AF23" s="19">
        <f t="shared" si="9"/>
        <v>58.96</v>
      </c>
      <c r="AG23" s="19">
        <f t="shared" si="9"/>
        <v>58.96</v>
      </c>
      <c r="AH23" s="19">
        <f t="shared" si="9"/>
        <v>126</v>
      </c>
      <c r="AI23" s="19">
        <f t="shared" si="9"/>
        <v>126</v>
      </c>
      <c r="AJ23" s="19">
        <f t="shared" si="9"/>
        <v>126</v>
      </c>
      <c r="AK23" s="19">
        <f t="shared" si="9"/>
        <v>126</v>
      </c>
      <c r="AL23" s="19">
        <f t="shared" si="9"/>
        <v>126</v>
      </c>
      <c r="AM23" s="19">
        <f t="shared" si="9"/>
        <v>126</v>
      </c>
      <c r="AN23" s="19">
        <f t="shared" si="9"/>
        <v>126</v>
      </c>
      <c r="AO23" s="19">
        <f t="shared" si="9"/>
        <v>126</v>
      </c>
      <c r="AP23" s="19">
        <f t="shared" si="9"/>
        <v>126</v>
      </c>
      <c r="AQ23" s="19">
        <f t="shared" si="9"/>
        <v>126</v>
      </c>
      <c r="AR23" s="19">
        <f t="shared" si="9"/>
        <v>126</v>
      </c>
      <c r="AS23" s="19">
        <f t="shared" si="9"/>
        <v>126</v>
      </c>
    </row>
    <row r="24" spans="1:45" ht="22.95" customHeight="1">
      <c r="A24" s="1"/>
      <c r="B24" s="1"/>
      <c r="C24" s="1" t="s">
        <v>229</v>
      </c>
      <c r="D24" s="1" t="s">
        <v>54</v>
      </c>
      <c r="E24" s="1"/>
      <c r="F24" s="1"/>
      <c r="G24" s="1"/>
      <c r="H24" s="1"/>
      <c r="I24" s="1"/>
      <c r="J24" s="18">
        <f>'01_가정'!F30</f>
        <v>0.1</v>
      </c>
      <c r="K24" s="18">
        <f>'01_가정'!F30</f>
        <v>0.1</v>
      </c>
      <c r="L24" s="18">
        <f>'01_가정'!F30</f>
        <v>0.1</v>
      </c>
      <c r="M24" s="18">
        <f>'01_가정'!F30</f>
        <v>0.1</v>
      </c>
      <c r="N24" s="18">
        <f>'01_가정'!F30</f>
        <v>0.1</v>
      </c>
      <c r="O24" s="18">
        <f>'01_가정'!F30</f>
        <v>0.1</v>
      </c>
      <c r="P24" s="18">
        <f>'01_가정'!F30</f>
        <v>0.1</v>
      </c>
      <c r="Q24" s="18">
        <f>'01_가정'!F30</f>
        <v>0.1</v>
      </c>
      <c r="R24" s="18">
        <f>'01_가정'!F30</f>
        <v>0.1</v>
      </c>
      <c r="S24" s="18">
        <f>'01_가정'!F30</f>
        <v>0.1</v>
      </c>
      <c r="T24" s="18">
        <f>'01_가정'!F30</f>
        <v>0.1</v>
      </c>
      <c r="U24" s="18">
        <f>'01_가정'!F30</f>
        <v>0.1</v>
      </c>
      <c r="V24" s="18">
        <f>'01_가정'!G30</f>
        <v>0.12</v>
      </c>
      <c r="W24" s="18">
        <f>'01_가정'!G30</f>
        <v>0.12</v>
      </c>
      <c r="X24" s="18">
        <f>'01_가정'!G30</f>
        <v>0.12</v>
      </c>
      <c r="Y24" s="18">
        <f>'01_가정'!G30</f>
        <v>0.12</v>
      </c>
      <c r="Z24" s="18">
        <f>'01_가정'!G30</f>
        <v>0.12</v>
      </c>
      <c r="AA24" s="18">
        <f>'01_가정'!G30</f>
        <v>0.12</v>
      </c>
      <c r="AB24" s="18">
        <f>'01_가정'!G30</f>
        <v>0.12</v>
      </c>
      <c r="AC24" s="18">
        <f>'01_가정'!G30</f>
        <v>0.12</v>
      </c>
      <c r="AD24" s="18">
        <f>'01_가정'!G30</f>
        <v>0.12</v>
      </c>
      <c r="AE24" s="18">
        <f>'01_가정'!G30</f>
        <v>0.12</v>
      </c>
      <c r="AF24" s="18">
        <f>'01_가정'!G30</f>
        <v>0.12</v>
      </c>
      <c r="AG24" s="18">
        <f>'01_가정'!G30</f>
        <v>0.12</v>
      </c>
      <c r="AH24" s="18">
        <f>'01_가정'!H30</f>
        <v>0.15</v>
      </c>
      <c r="AI24" s="18">
        <f>'01_가정'!H30</f>
        <v>0.15</v>
      </c>
      <c r="AJ24" s="18">
        <f>'01_가정'!H30</f>
        <v>0.15</v>
      </c>
      <c r="AK24" s="18">
        <f>'01_가정'!H30</f>
        <v>0.15</v>
      </c>
      <c r="AL24" s="18">
        <f>'01_가정'!H30</f>
        <v>0.15</v>
      </c>
      <c r="AM24" s="18">
        <f>'01_가정'!H30</f>
        <v>0.15</v>
      </c>
      <c r="AN24" s="18">
        <f>'01_가정'!H30</f>
        <v>0.15</v>
      </c>
      <c r="AO24" s="18">
        <f>'01_가정'!H30</f>
        <v>0.15</v>
      </c>
      <c r="AP24" s="18">
        <f>'01_가정'!H30</f>
        <v>0.15</v>
      </c>
      <c r="AQ24" s="18">
        <f>'01_가정'!H30</f>
        <v>0.15</v>
      </c>
      <c r="AR24" s="18">
        <f>'01_가정'!H30</f>
        <v>0.15</v>
      </c>
      <c r="AS24" s="18">
        <f>'01_가정'!H30</f>
        <v>0.15</v>
      </c>
    </row>
    <row r="25" spans="1:45" ht="22.95" customHeight="1">
      <c r="A25" s="1"/>
      <c r="B25" s="1"/>
      <c r="C25" s="1" t="s">
        <v>230</v>
      </c>
      <c r="D25" s="1" t="s">
        <v>54</v>
      </c>
      <c r="E25" s="1"/>
      <c r="F25" s="1"/>
      <c r="G25" s="1"/>
      <c r="H25" s="1"/>
      <c r="I25" s="1"/>
      <c r="J25" s="18">
        <f>'01_가정'!F34</f>
        <v>0.75</v>
      </c>
      <c r="K25" s="18">
        <f>'01_가정'!F34</f>
        <v>0.75</v>
      </c>
      <c r="L25" s="18">
        <f>'01_가정'!F34</f>
        <v>0.75</v>
      </c>
      <c r="M25" s="18">
        <f>'01_가정'!F34</f>
        <v>0.75</v>
      </c>
      <c r="N25" s="18">
        <f>'01_가정'!F34</f>
        <v>0.75</v>
      </c>
      <c r="O25" s="18">
        <f>'01_가정'!F34</f>
        <v>0.75</v>
      </c>
      <c r="P25" s="18">
        <f>'01_가정'!F34</f>
        <v>0.75</v>
      </c>
      <c r="Q25" s="18">
        <f>'01_가정'!F34</f>
        <v>0.75</v>
      </c>
      <c r="R25" s="18">
        <f>'01_가정'!F34</f>
        <v>0.75</v>
      </c>
      <c r="S25" s="18">
        <f>'01_가정'!F34</f>
        <v>0.75</v>
      </c>
      <c r="T25" s="18">
        <f>'01_가정'!F34</f>
        <v>0.75</v>
      </c>
      <c r="U25" s="18">
        <f>'01_가정'!F34</f>
        <v>0.75</v>
      </c>
      <c r="V25" s="18">
        <f>'01_가정'!G34</f>
        <v>0.78</v>
      </c>
      <c r="W25" s="18">
        <f>'01_가정'!G34</f>
        <v>0.78</v>
      </c>
      <c r="X25" s="18">
        <f>'01_가정'!G34</f>
        <v>0.78</v>
      </c>
      <c r="Y25" s="18">
        <f>'01_가정'!G34</f>
        <v>0.78</v>
      </c>
      <c r="Z25" s="18">
        <f>'01_가정'!G34</f>
        <v>0.78</v>
      </c>
      <c r="AA25" s="18">
        <f>'01_가정'!G34</f>
        <v>0.78</v>
      </c>
      <c r="AB25" s="18">
        <f>'01_가정'!G34</f>
        <v>0.78</v>
      </c>
      <c r="AC25" s="18">
        <f>'01_가정'!G34</f>
        <v>0.78</v>
      </c>
      <c r="AD25" s="18">
        <f>'01_가정'!G34</f>
        <v>0.78</v>
      </c>
      <c r="AE25" s="18">
        <f>'01_가정'!G34</f>
        <v>0.78</v>
      </c>
      <c r="AF25" s="18">
        <f>'01_가정'!G34</f>
        <v>0.78</v>
      </c>
      <c r="AG25" s="18">
        <f>'01_가정'!G34</f>
        <v>0.78</v>
      </c>
      <c r="AH25" s="18">
        <f>'01_가정'!H34</f>
        <v>0.8</v>
      </c>
      <c r="AI25" s="18">
        <f>'01_가정'!H34</f>
        <v>0.8</v>
      </c>
      <c r="AJ25" s="18">
        <f>'01_가정'!H34</f>
        <v>0.8</v>
      </c>
      <c r="AK25" s="18">
        <f>'01_가정'!H34</f>
        <v>0.8</v>
      </c>
      <c r="AL25" s="18">
        <f>'01_가정'!H34</f>
        <v>0.8</v>
      </c>
      <c r="AM25" s="18">
        <f>'01_가정'!H34</f>
        <v>0.8</v>
      </c>
      <c r="AN25" s="18">
        <f>'01_가정'!H34</f>
        <v>0.8</v>
      </c>
      <c r="AO25" s="18">
        <f>'01_가정'!H34</f>
        <v>0.8</v>
      </c>
      <c r="AP25" s="18">
        <f>'01_가정'!H34</f>
        <v>0.8</v>
      </c>
      <c r="AQ25" s="18">
        <f>'01_가정'!H34</f>
        <v>0.8</v>
      </c>
      <c r="AR25" s="18">
        <f>'01_가정'!H34</f>
        <v>0.8</v>
      </c>
      <c r="AS25" s="18">
        <f>'01_가정'!H34</f>
        <v>0.8</v>
      </c>
    </row>
    <row r="26" spans="1:45" ht="22.95" customHeight="1">
      <c r="A26" s="1"/>
      <c r="B26" s="1"/>
      <c r="C26" s="1" t="s">
        <v>231</v>
      </c>
      <c r="D26" s="1" t="s">
        <v>63</v>
      </c>
      <c r="E26" s="1"/>
      <c r="F26" s="19">
        <f>SUM(J26:U26)</f>
        <v>2.6349999999999998</v>
      </c>
      <c r="G26" s="19">
        <f>SUM(V26:AG26)</f>
        <v>79.952199999999991</v>
      </c>
      <c r="H26" s="19">
        <f>SUM(AH26:AS26)</f>
        <v>214.97520000000003</v>
      </c>
      <c r="I26" s="1"/>
      <c r="J26" s="19">
        <f>0</f>
        <v>0</v>
      </c>
      <c r="K26" s="19">
        <f t="shared" ref="K26:AS26" si="10">J21*J24</f>
        <v>0</v>
      </c>
      <c r="L26" s="19">
        <f t="shared" si="10"/>
        <v>0</v>
      </c>
      <c r="M26" s="19">
        <f t="shared" si="10"/>
        <v>0</v>
      </c>
      <c r="N26" s="19">
        <f t="shared" si="10"/>
        <v>0</v>
      </c>
      <c r="O26" s="19">
        <f t="shared" si="10"/>
        <v>0</v>
      </c>
      <c r="P26" s="19">
        <f t="shared" si="10"/>
        <v>0</v>
      </c>
      <c r="Q26" s="19">
        <f t="shared" si="10"/>
        <v>0</v>
      </c>
      <c r="R26" s="19">
        <f t="shared" si="10"/>
        <v>0</v>
      </c>
      <c r="S26" s="19">
        <f t="shared" si="10"/>
        <v>0</v>
      </c>
      <c r="T26" s="19">
        <f t="shared" si="10"/>
        <v>1.02</v>
      </c>
      <c r="U26" s="19">
        <f t="shared" si="10"/>
        <v>1.615</v>
      </c>
      <c r="V26" s="19">
        <f t="shared" si="10"/>
        <v>2.125</v>
      </c>
      <c r="W26" s="19">
        <f t="shared" si="10"/>
        <v>7.0751999999999997</v>
      </c>
      <c r="X26" s="19">
        <f t="shared" si="10"/>
        <v>7.0751999999999997</v>
      </c>
      <c r="Y26" s="19">
        <f t="shared" si="10"/>
        <v>7.0751999999999997</v>
      </c>
      <c r="Z26" s="19">
        <f t="shared" si="10"/>
        <v>7.0751999999999997</v>
      </c>
      <c r="AA26" s="19">
        <f t="shared" si="10"/>
        <v>7.0751999999999997</v>
      </c>
      <c r="AB26" s="19">
        <f t="shared" si="10"/>
        <v>7.0751999999999997</v>
      </c>
      <c r="AC26" s="19">
        <f t="shared" si="10"/>
        <v>7.0751999999999997</v>
      </c>
      <c r="AD26" s="19">
        <f t="shared" si="10"/>
        <v>7.0751999999999997</v>
      </c>
      <c r="AE26" s="19">
        <f t="shared" si="10"/>
        <v>7.0751999999999997</v>
      </c>
      <c r="AF26" s="19">
        <f t="shared" si="10"/>
        <v>7.0751999999999997</v>
      </c>
      <c r="AG26" s="19">
        <f t="shared" si="10"/>
        <v>7.0751999999999997</v>
      </c>
      <c r="AH26" s="19">
        <f t="shared" si="10"/>
        <v>7.0751999999999997</v>
      </c>
      <c r="AI26" s="19">
        <f t="shared" si="10"/>
        <v>18.899999999999999</v>
      </c>
      <c r="AJ26" s="19">
        <f t="shared" si="10"/>
        <v>18.899999999999999</v>
      </c>
      <c r="AK26" s="19">
        <f t="shared" si="10"/>
        <v>18.899999999999999</v>
      </c>
      <c r="AL26" s="19">
        <f t="shared" si="10"/>
        <v>18.899999999999999</v>
      </c>
      <c r="AM26" s="19">
        <f t="shared" si="10"/>
        <v>18.899999999999999</v>
      </c>
      <c r="AN26" s="19">
        <f t="shared" si="10"/>
        <v>18.899999999999999</v>
      </c>
      <c r="AO26" s="19">
        <f t="shared" si="10"/>
        <v>18.899999999999999</v>
      </c>
      <c r="AP26" s="19">
        <f t="shared" si="10"/>
        <v>18.899999999999999</v>
      </c>
      <c r="AQ26" s="19">
        <f t="shared" si="10"/>
        <v>18.899999999999999</v>
      </c>
      <c r="AR26" s="19">
        <f t="shared" si="10"/>
        <v>18.899999999999999</v>
      </c>
      <c r="AS26" s="19">
        <f t="shared" si="10"/>
        <v>18.899999999999999</v>
      </c>
    </row>
    <row r="27" spans="1:45" ht="22.95" customHeight="1">
      <c r="A27" s="1"/>
      <c r="B27" s="1"/>
      <c r="C27" s="1" t="s">
        <v>232</v>
      </c>
      <c r="D27" s="1" t="s">
        <v>63</v>
      </c>
      <c r="E27" s="1"/>
      <c r="F27" s="19">
        <f>SUM(J27:U27)</f>
        <v>0.76500000000000001</v>
      </c>
      <c r="G27" s="19">
        <f>SUM(V27:AG27)</f>
        <v>184.37904435648559</v>
      </c>
      <c r="H27" s="19">
        <f>SUM(AH27:AS27)</f>
        <v>624.91469209973286</v>
      </c>
      <c r="I27" s="1"/>
      <c r="J27" s="19">
        <f>0</f>
        <v>0</v>
      </c>
      <c r="K27" s="19">
        <f t="shared" ref="K27:AS27" si="11">J28*K25</f>
        <v>0</v>
      </c>
      <c r="L27" s="19">
        <f t="shared" si="11"/>
        <v>0</v>
      </c>
      <c r="M27" s="19">
        <f t="shared" si="11"/>
        <v>0</v>
      </c>
      <c r="N27" s="19">
        <f t="shared" si="11"/>
        <v>0</v>
      </c>
      <c r="O27" s="19">
        <f t="shared" si="11"/>
        <v>0</v>
      </c>
      <c r="P27" s="19">
        <f t="shared" si="11"/>
        <v>0</v>
      </c>
      <c r="Q27" s="19">
        <f t="shared" si="11"/>
        <v>0</v>
      </c>
      <c r="R27" s="19">
        <f t="shared" si="11"/>
        <v>0</v>
      </c>
      <c r="S27" s="19">
        <f t="shared" si="11"/>
        <v>0</v>
      </c>
      <c r="T27" s="19">
        <f t="shared" si="11"/>
        <v>0</v>
      </c>
      <c r="U27" s="19">
        <f t="shared" si="11"/>
        <v>0.76500000000000001</v>
      </c>
      <c r="V27" s="19">
        <f t="shared" si="11"/>
        <v>1.8564000000000001</v>
      </c>
      <c r="W27" s="19">
        <f t="shared" si="11"/>
        <v>3.1054919999999999</v>
      </c>
      <c r="X27" s="19">
        <f t="shared" si="11"/>
        <v>7.9409397600000009</v>
      </c>
      <c r="Y27" s="19">
        <f t="shared" si="11"/>
        <v>11.712589012800002</v>
      </c>
      <c r="Z27" s="19">
        <f t="shared" si="11"/>
        <v>14.654475429984002</v>
      </c>
      <c r="AA27" s="19">
        <f t="shared" si="11"/>
        <v>16.949146835387523</v>
      </c>
      <c r="AB27" s="19">
        <f t="shared" si="11"/>
        <v>18.738990531602269</v>
      </c>
      <c r="AC27" s="19">
        <f t="shared" si="11"/>
        <v>20.135068614649768</v>
      </c>
      <c r="AD27" s="19">
        <f t="shared" si="11"/>
        <v>21.224009519426819</v>
      </c>
      <c r="AE27" s="19">
        <f t="shared" si="11"/>
        <v>22.073383425152919</v>
      </c>
      <c r="AF27" s="19">
        <f t="shared" si="11"/>
        <v>22.735895071619275</v>
      </c>
      <c r="AG27" s="19">
        <f t="shared" si="11"/>
        <v>23.252654155863034</v>
      </c>
      <c r="AH27" s="19">
        <f t="shared" si="11"/>
        <v>24.262283324690429</v>
      </c>
      <c r="AI27" s="19">
        <f t="shared" si="11"/>
        <v>25.069986659752345</v>
      </c>
      <c r="AJ27" s="19">
        <f t="shared" si="11"/>
        <v>35.175989327801879</v>
      </c>
      <c r="AK27" s="19">
        <f t="shared" si="11"/>
        <v>43.260791462241507</v>
      </c>
      <c r="AL27" s="19">
        <f t="shared" si="11"/>
        <v>49.728633169793206</v>
      </c>
      <c r="AM27" s="19">
        <f t="shared" si="11"/>
        <v>54.902906535834568</v>
      </c>
      <c r="AN27" s="19">
        <f t="shared" si="11"/>
        <v>59.042325228667657</v>
      </c>
      <c r="AO27" s="19">
        <f t="shared" si="11"/>
        <v>62.353860182934127</v>
      </c>
      <c r="AP27" s="19">
        <f t="shared" si="11"/>
        <v>65.003088146347295</v>
      </c>
      <c r="AQ27" s="19">
        <f t="shared" si="11"/>
        <v>67.122470517077844</v>
      </c>
      <c r="AR27" s="19">
        <f t="shared" si="11"/>
        <v>68.817976413662265</v>
      </c>
      <c r="AS27" s="19">
        <f t="shared" si="11"/>
        <v>70.174381130929802</v>
      </c>
    </row>
    <row r="28" spans="1:45" ht="22.95" customHeight="1">
      <c r="A28" s="1"/>
      <c r="B28" s="1"/>
      <c r="C28" s="1" t="s">
        <v>233</v>
      </c>
      <c r="D28" s="1" t="s">
        <v>63</v>
      </c>
      <c r="E28" s="1"/>
      <c r="F28" s="19">
        <f>U28</f>
        <v>2.38</v>
      </c>
      <c r="G28" s="19">
        <f>AG28</f>
        <v>30.327854155863033</v>
      </c>
      <c r="H28" s="19">
        <f>AS28</f>
        <v>89.074381130929794</v>
      </c>
      <c r="I28" s="1"/>
      <c r="J28" s="19">
        <f t="shared" ref="J28:AS28" si="12">SUM(J26:J27)</f>
        <v>0</v>
      </c>
      <c r="K28" s="19">
        <f t="shared" si="12"/>
        <v>0</v>
      </c>
      <c r="L28" s="19">
        <f t="shared" si="12"/>
        <v>0</v>
      </c>
      <c r="M28" s="19">
        <f t="shared" si="12"/>
        <v>0</v>
      </c>
      <c r="N28" s="19">
        <f t="shared" si="12"/>
        <v>0</v>
      </c>
      <c r="O28" s="19">
        <f t="shared" si="12"/>
        <v>0</v>
      </c>
      <c r="P28" s="19">
        <f t="shared" si="12"/>
        <v>0</v>
      </c>
      <c r="Q28" s="19">
        <f t="shared" si="12"/>
        <v>0</v>
      </c>
      <c r="R28" s="19">
        <f t="shared" si="12"/>
        <v>0</v>
      </c>
      <c r="S28" s="19">
        <f t="shared" si="12"/>
        <v>0</v>
      </c>
      <c r="T28" s="19">
        <f t="shared" si="12"/>
        <v>1.02</v>
      </c>
      <c r="U28" s="19">
        <f t="shared" si="12"/>
        <v>2.38</v>
      </c>
      <c r="V28" s="19">
        <f t="shared" si="12"/>
        <v>3.9813999999999998</v>
      </c>
      <c r="W28" s="19">
        <f t="shared" si="12"/>
        <v>10.180692000000001</v>
      </c>
      <c r="X28" s="19">
        <f t="shared" si="12"/>
        <v>15.016139760000002</v>
      </c>
      <c r="Y28" s="19">
        <f t="shared" si="12"/>
        <v>18.787789012800001</v>
      </c>
      <c r="Z28" s="19">
        <f t="shared" si="12"/>
        <v>21.729675429984002</v>
      </c>
      <c r="AA28" s="19">
        <f t="shared" si="12"/>
        <v>24.024346835387522</v>
      </c>
      <c r="AB28" s="19">
        <f t="shared" si="12"/>
        <v>25.814190531602268</v>
      </c>
      <c r="AC28" s="19">
        <f t="shared" si="12"/>
        <v>27.210268614649767</v>
      </c>
      <c r="AD28" s="19">
        <f t="shared" si="12"/>
        <v>28.299209519426817</v>
      </c>
      <c r="AE28" s="19">
        <f t="shared" si="12"/>
        <v>29.148583425152918</v>
      </c>
      <c r="AF28" s="19">
        <f t="shared" si="12"/>
        <v>29.811095071619274</v>
      </c>
      <c r="AG28" s="19">
        <f t="shared" si="12"/>
        <v>30.327854155863033</v>
      </c>
      <c r="AH28" s="19">
        <f t="shared" si="12"/>
        <v>31.337483324690428</v>
      </c>
      <c r="AI28" s="19">
        <f t="shared" si="12"/>
        <v>43.969986659752344</v>
      </c>
      <c r="AJ28" s="19">
        <f t="shared" si="12"/>
        <v>54.075989327801878</v>
      </c>
      <c r="AK28" s="19">
        <f t="shared" si="12"/>
        <v>62.160791462241505</v>
      </c>
      <c r="AL28" s="19">
        <f t="shared" si="12"/>
        <v>68.628633169793204</v>
      </c>
      <c r="AM28" s="19">
        <f t="shared" si="12"/>
        <v>73.802906535834566</v>
      </c>
      <c r="AN28" s="19">
        <f t="shared" si="12"/>
        <v>77.942325228667656</v>
      </c>
      <c r="AO28" s="19">
        <f t="shared" si="12"/>
        <v>81.253860182934119</v>
      </c>
      <c r="AP28" s="19">
        <f t="shared" si="12"/>
        <v>83.903088146347301</v>
      </c>
      <c r="AQ28" s="19">
        <f t="shared" si="12"/>
        <v>86.022470517077835</v>
      </c>
      <c r="AR28" s="19">
        <f t="shared" si="12"/>
        <v>87.717976413662257</v>
      </c>
      <c r="AS28" s="19">
        <f t="shared" si="12"/>
        <v>89.074381130929794</v>
      </c>
    </row>
    <row r="29" spans="1:45" ht="22.95" customHeight="1">
      <c r="A29" s="1"/>
      <c r="B29" s="1"/>
      <c r="C29" s="8" t="s">
        <v>234</v>
      </c>
      <c r="D29" s="8" t="s">
        <v>107</v>
      </c>
      <c r="E29" s="8"/>
      <c r="F29" s="9">
        <f t="shared" ref="F29:F54" si="13">SUM(J29:U29)</f>
        <v>3.4</v>
      </c>
      <c r="G29" s="9">
        <f t="shared" ref="G29:G54" si="14">SUM(V29:AG29)</f>
        <v>264.33124435648557</v>
      </c>
      <c r="H29" s="9">
        <f t="shared" ref="H29:H54" si="15">SUM(AH29:AS29)</f>
        <v>839.88989209973283</v>
      </c>
      <c r="I29" s="8"/>
      <c r="J29" s="24">
        <f>J28*'01_가정'!$F$94</f>
        <v>0</v>
      </c>
      <c r="K29" s="24">
        <f>K28*'01_가정'!$F$94</f>
        <v>0</v>
      </c>
      <c r="L29" s="24">
        <f>L28*'01_가정'!$F$94</f>
        <v>0</v>
      </c>
      <c r="M29" s="24">
        <f>M28*'01_가정'!$F$94</f>
        <v>0</v>
      </c>
      <c r="N29" s="24">
        <f>N28*'01_가정'!$F$94</f>
        <v>0</v>
      </c>
      <c r="O29" s="24">
        <f>O28*'01_가정'!$F$94</f>
        <v>0</v>
      </c>
      <c r="P29" s="24">
        <f>P28*'01_가정'!$F$94</f>
        <v>0</v>
      </c>
      <c r="Q29" s="24">
        <f>Q28*'01_가정'!$F$94</f>
        <v>0</v>
      </c>
      <c r="R29" s="24">
        <f>R28*'01_가정'!$F$94</f>
        <v>0</v>
      </c>
      <c r="S29" s="24">
        <f>S28*'01_가정'!$F$94</f>
        <v>0</v>
      </c>
      <c r="T29" s="24">
        <f>T28*'01_가정'!$F$94</f>
        <v>1.02</v>
      </c>
      <c r="U29" s="24">
        <f>U28*'01_가정'!$F$94</f>
        <v>2.38</v>
      </c>
      <c r="V29" s="24">
        <f>V28*'01_가정'!$F$94</f>
        <v>3.9813999999999998</v>
      </c>
      <c r="W29" s="24">
        <f>W28*'01_가정'!$F$94</f>
        <v>10.180692000000001</v>
      </c>
      <c r="X29" s="24">
        <f>X28*'01_가정'!$F$94</f>
        <v>15.016139760000002</v>
      </c>
      <c r="Y29" s="24">
        <f>Y28*'01_가정'!$F$94</f>
        <v>18.787789012800001</v>
      </c>
      <c r="Z29" s="24">
        <f>Z28*'01_가정'!$F$94</f>
        <v>21.729675429984002</v>
      </c>
      <c r="AA29" s="24">
        <f>AA28*'01_가정'!$F$94</f>
        <v>24.024346835387522</v>
      </c>
      <c r="AB29" s="24">
        <f>AB28*'01_가정'!$F$94</f>
        <v>25.814190531602268</v>
      </c>
      <c r="AC29" s="24">
        <f>AC28*'01_가정'!$F$94</f>
        <v>27.210268614649767</v>
      </c>
      <c r="AD29" s="24">
        <f>AD28*'01_가정'!$F$94</f>
        <v>28.299209519426817</v>
      </c>
      <c r="AE29" s="24">
        <f>AE28*'01_가정'!$F$94</f>
        <v>29.148583425152918</v>
      </c>
      <c r="AF29" s="24">
        <f>AF28*'01_가정'!$F$94</f>
        <v>29.811095071619274</v>
      </c>
      <c r="AG29" s="24">
        <f>AG28*'01_가정'!$F$94</f>
        <v>30.327854155863033</v>
      </c>
      <c r="AH29" s="24">
        <f>AH28*'01_가정'!$F$94</f>
        <v>31.337483324690428</v>
      </c>
      <c r="AI29" s="24">
        <f>AI28*'01_가정'!$F$94</f>
        <v>43.969986659752344</v>
      </c>
      <c r="AJ29" s="24">
        <f>AJ28*'01_가정'!$F$94</f>
        <v>54.075989327801878</v>
      </c>
      <c r="AK29" s="24">
        <f>AK28*'01_가정'!$F$94</f>
        <v>62.160791462241505</v>
      </c>
      <c r="AL29" s="24">
        <f>AL28*'01_가정'!$F$94</f>
        <v>68.628633169793204</v>
      </c>
      <c r="AM29" s="24">
        <f>AM28*'01_가정'!$F$94</f>
        <v>73.802906535834566</v>
      </c>
      <c r="AN29" s="24">
        <f>AN28*'01_가정'!$F$94</f>
        <v>77.942325228667656</v>
      </c>
      <c r="AO29" s="24">
        <f>AO28*'01_가정'!$F$94</f>
        <v>81.253860182934119</v>
      </c>
      <c r="AP29" s="24">
        <f>AP28*'01_가정'!$F$94</f>
        <v>83.903088146347301</v>
      </c>
      <c r="AQ29" s="24">
        <f>AQ28*'01_가정'!$F$94</f>
        <v>86.022470517077835</v>
      </c>
      <c r="AR29" s="24">
        <f>AR28*'01_가정'!$F$94</f>
        <v>87.717976413662257</v>
      </c>
      <c r="AS29" s="24">
        <f>AS28*'01_가정'!$F$94</f>
        <v>89.074381130929794</v>
      </c>
    </row>
    <row r="30" spans="1:45" ht="22.95" customHeight="1">
      <c r="A30" s="1"/>
      <c r="B30" s="1"/>
      <c r="C30" s="1" t="s">
        <v>235</v>
      </c>
      <c r="D30" s="1" t="s">
        <v>11</v>
      </c>
      <c r="E30" s="1"/>
      <c r="F30" s="19">
        <f t="shared" si="13"/>
        <v>5582181.8181818174</v>
      </c>
      <c r="G30" s="19">
        <f t="shared" si="14"/>
        <v>82972799.999999985</v>
      </c>
      <c r="H30" s="19">
        <f t="shared" si="15"/>
        <v>177316363.63636363</v>
      </c>
      <c r="I30" s="1"/>
      <c r="J30" s="17">
        <f>J21*'01_가정'!F10/(1+'01_가정'!$F$85)</f>
        <v>0</v>
      </c>
      <c r="K30" s="17">
        <f>K21*'01_가정'!F10/(1+'01_가정'!$F$85)</f>
        <v>0</v>
      </c>
      <c r="L30" s="17">
        <f>L21*'01_가정'!F10/(1+'01_가정'!$F$85)</f>
        <v>0</v>
      </c>
      <c r="M30" s="17">
        <f>M21*'01_가정'!F10/(1+'01_가정'!$F$85)</f>
        <v>0</v>
      </c>
      <c r="N30" s="17">
        <f>N21*'01_가정'!F10/(1+'01_가정'!$F$85)</f>
        <v>0</v>
      </c>
      <c r="O30" s="17">
        <f>O21*'01_가정'!F10/(1+'01_가정'!$F$85)</f>
        <v>0</v>
      </c>
      <c r="P30" s="17">
        <f>P21*'01_가정'!F10/(1+'01_가정'!$F$85)</f>
        <v>0</v>
      </c>
      <c r="Q30" s="17">
        <f>Q21*'01_가정'!F10/(1+'01_가정'!$F$85)</f>
        <v>0</v>
      </c>
      <c r="R30" s="17">
        <f>R21*'01_가정'!F10/(1+'01_가정'!$F$85)</f>
        <v>0</v>
      </c>
      <c r="S30" s="17">
        <f>S21*'01_가정'!F10/(1+'01_가정'!$F$85)</f>
        <v>1196181.8181818181</v>
      </c>
      <c r="T30" s="17">
        <f>T21*'01_가정'!F10/(1+'01_가정'!$F$85)</f>
        <v>1893954.5454545452</v>
      </c>
      <c r="U30" s="17">
        <f>U21*'01_가정'!F10/(1+'01_가정'!$F$85)</f>
        <v>2492045.4545454541</v>
      </c>
      <c r="V30" s="17">
        <f>V21*'01_가정'!G10/(1+'01_가정'!$F$85)</f>
        <v>6914399.9999999991</v>
      </c>
      <c r="W30" s="17">
        <f>W21*'01_가정'!G10/(1+'01_가정'!$F$85)</f>
        <v>6914399.9999999991</v>
      </c>
      <c r="X30" s="17">
        <f>X21*'01_가정'!G10/(1+'01_가정'!$F$85)</f>
        <v>6914399.9999999991</v>
      </c>
      <c r="Y30" s="17">
        <f>Y21*'01_가정'!G10/(1+'01_가정'!$F$85)</f>
        <v>6914399.9999999991</v>
      </c>
      <c r="Z30" s="17">
        <f>Z21*'01_가정'!G10/(1+'01_가정'!$F$85)</f>
        <v>6914399.9999999991</v>
      </c>
      <c r="AA30" s="17">
        <f>AA21*'01_가정'!G10/(1+'01_가정'!$F$85)</f>
        <v>6914399.9999999991</v>
      </c>
      <c r="AB30" s="17">
        <f>AB21*'01_가정'!G10/(1+'01_가정'!$F$85)</f>
        <v>6914399.9999999991</v>
      </c>
      <c r="AC30" s="17">
        <f>AC21*'01_가정'!G10/(1+'01_가정'!$F$85)</f>
        <v>6914399.9999999991</v>
      </c>
      <c r="AD30" s="17">
        <f>AD21*'01_가정'!G10/(1+'01_가정'!$F$85)</f>
        <v>6914399.9999999991</v>
      </c>
      <c r="AE30" s="17">
        <f>AE21*'01_가정'!G10/(1+'01_가정'!$F$85)</f>
        <v>6914399.9999999991</v>
      </c>
      <c r="AF30" s="17">
        <f>AF21*'01_가정'!G10/(1+'01_가정'!$F$85)</f>
        <v>6914399.9999999991</v>
      </c>
      <c r="AG30" s="17">
        <f>AG21*'01_가정'!G10/(1+'01_가정'!$F$85)</f>
        <v>6914399.9999999991</v>
      </c>
      <c r="AH30" s="17">
        <f>AH21*'01_가정'!H10/(1+'01_가정'!$F$85)</f>
        <v>14776363.636363635</v>
      </c>
      <c r="AI30" s="17">
        <f>AI21*'01_가정'!H10/(1+'01_가정'!$F$85)</f>
        <v>14776363.636363635</v>
      </c>
      <c r="AJ30" s="17">
        <f>AJ21*'01_가정'!H10/(1+'01_가정'!$F$85)</f>
        <v>14776363.636363635</v>
      </c>
      <c r="AK30" s="17">
        <f>AK21*'01_가정'!H10/(1+'01_가정'!$F$85)</f>
        <v>14776363.636363635</v>
      </c>
      <c r="AL30" s="17">
        <f>AL21*'01_가정'!H10/(1+'01_가정'!$F$85)</f>
        <v>14776363.636363635</v>
      </c>
      <c r="AM30" s="17">
        <f>AM21*'01_가정'!H10/(1+'01_가정'!$F$85)</f>
        <v>14776363.636363635</v>
      </c>
      <c r="AN30" s="17">
        <f>AN21*'01_가정'!H10/(1+'01_가정'!$F$85)</f>
        <v>14776363.636363635</v>
      </c>
      <c r="AO30" s="17">
        <f>AO21*'01_가정'!H10/(1+'01_가정'!$F$85)</f>
        <v>14776363.636363635</v>
      </c>
      <c r="AP30" s="17">
        <f>AP21*'01_가정'!H10/(1+'01_가정'!$F$85)</f>
        <v>14776363.636363635</v>
      </c>
      <c r="AQ30" s="17">
        <f>AQ21*'01_가정'!H10/(1+'01_가정'!$F$85)</f>
        <v>14776363.636363635</v>
      </c>
      <c r="AR30" s="17">
        <f>AR21*'01_가정'!H10/(1+'01_가정'!$F$85)</f>
        <v>14776363.636363635</v>
      </c>
      <c r="AS30" s="17">
        <f>AS21*'01_가정'!H10/(1+'01_가정'!$F$85)</f>
        <v>14776363.636363635</v>
      </c>
    </row>
    <row r="31" spans="1:45" ht="22.95" customHeight="1">
      <c r="A31" s="1"/>
      <c r="B31" s="1"/>
      <c r="C31" s="1" t="s">
        <v>236</v>
      </c>
      <c r="D31" s="1" t="s">
        <v>11</v>
      </c>
      <c r="E31" s="1"/>
      <c r="F31" s="19">
        <f t="shared" si="13"/>
        <v>0</v>
      </c>
      <c r="G31" s="19">
        <f t="shared" si="14"/>
        <v>0</v>
      </c>
      <c r="H31" s="19">
        <f t="shared" si="15"/>
        <v>0</v>
      </c>
      <c r="I31" s="1"/>
      <c r="J31" s="17">
        <f>(J18-J22)*'01_가정'!F10/(1+'01_가정'!$F$85)*'01_가정'!F54</f>
        <v>0</v>
      </c>
      <c r="K31" s="17">
        <f>(K18-K22)*'01_가정'!F10/(1+'01_가정'!$F$85)*'01_가정'!F54</f>
        <v>0</v>
      </c>
      <c r="L31" s="17">
        <f>(L18-L22)*'01_가정'!F10/(1+'01_가정'!$F$85)*'01_가정'!F54</f>
        <v>0</v>
      </c>
      <c r="M31" s="17">
        <f>(M18-M22)*'01_가정'!F10/(1+'01_가정'!$F$85)*'01_가정'!F54</f>
        <v>0</v>
      </c>
      <c r="N31" s="17">
        <f>(N18-N22)*'01_가정'!F10/(1+'01_가정'!$F$85)*'01_가정'!F54</f>
        <v>0</v>
      </c>
      <c r="O31" s="17">
        <f>(O18-O22)*'01_가정'!F10/(1+'01_가정'!$F$85)*'01_가정'!F54</f>
        <v>0</v>
      </c>
      <c r="P31" s="17">
        <f>(P18-P22)*'01_가정'!F10/(1+'01_가정'!$F$85)*'01_가정'!F54</f>
        <v>0</v>
      </c>
      <c r="Q31" s="17">
        <f>(Q18-Q22)*'01_가정'!F10/(1+'01_가정'!$F$85)*'01_가정'!F54</f>
        <v>0</v>
      </c>
      <c r="R31" s="17">
        <f>(R18-R22)*'01_가정'!F10/(1+'01_가정'!$F$85)*'01_가정'!F54</f>
        <v>0</v>
      </c>
      <c r="S31" s="17">
        <f>(S18-S22)*'01_가정'!F10/(1+'01_가정'!$F$85)*'01_가정'!F54</f>
        <v>0</v>
      </c>
      <c r="T31" s="17">
        <f>(T18-T22)*'01_가정'!F10/(1+'01_가정'!$F$85)*'01_가정'!F54</f>
        <v>0</v>
      </c>
      <c r="U31" s="17">
        <f>(U18-U22)*'01_가정'!F10/(1+'01_가정'!$F$85)*'01_가정'!F54</f>
        <v>0</v>
      </c>
      <c r="V31" s="17">
        <f>(V18-V22)*'01_가정'!G10/(1+'01_가정'!$F$85)*'01_가정'!G54</f>
        <v>0</v>
      </c>
      <c r="W31" s="17">
        <f>(W18-W22)*'01_가정'!G10/(1+'01_가정'!$F$85)*'01_가정'!G54</f>
        <v>0</v>
      </c>
      <c r="X31" s="17">
        <f>(X18-X22)*'01_가정'!G10/(1+'01_가정'!$F$85)*'01_가정'!G54</f>
        <v>0</v>
      </c>
      <c r="Y31" s="17">
        <f>(Y18-Y22)*'01_가정'!G10/(1+'01_가정'!$F$85)*'01_가정'!G54</f>
        <v>0</v>
      </c>
      <c r="Z31" s="17">
        <f>(Z18-Z22)*'01_가정'!G10/(1+'01_가정'!$F$85)*'01_가정'!G54</f>
        <v>0</v>
      </c>
      <c r="AA31" s="17">
        <f>(AA18-AA22)*'01_가정'!G10/(1+'01_가정'!$F$85)*'01_가정'!G54</f>
        <v>0</v>
      </c>
      <c r="AB31" s="17">
        <f>(AB18-AB22)*'01_가정'!G10/(1+'01_가정'!$F$85)*'01_가정'!G54</f>
        <v>0</v>
      </c>
      <c r="AC31" s="17">
        <f>(AC18-AC22)*'01_가정'!G10/(1+'01_가정'!$F$85)*'01_가정'!G54</f>
        <v>0</v>
      </c>
      <c r="AD31" s="17">
        <f>(AD18-AD22)*'01_가정'!G10/(1+'01_가정'!$F$85)*'01_가정'!G54</f>
        <v>0</v>
      </c>
      <c r="AE31" s="17">
        <f>(AE18-AE22)*'01_가정'!G10/(1+'01_가정'!$F$85)*'01_가정'!G54</f>
        <v>0</v>
      </c>
      <c r="AF31" s="17">
        <f>(AF18-AF22)*'01_가정'!G10/(1+'01_가정'!$F$85)*'01_가정'!G54</f>
        <v>0</v>
      </c>
      <c r="AG31" s="17">
        <f>(AG18-AG22)*'01_가정'!G10/(1+'01_가정'!$F$85)*'01_가정'!G54</f>
        <v>0</v>
      </c>
      <c r="AH31" s="17">
        <f>(AH18-AH22)*'01_가정'!H10/(1+'01_가정'!$F$85)*'01_가정'!H54</f>
        <v>0</v>
      </c>
      <c r="AI31" s="17">
        <f>(AI18-AI22)*'01_가정'!H10/(1+'01_가정'!$F$85)*'01_가정'!H54</f>
        <v>0</v>
      </c>
      <c r="AJ31" s="17">
        <f>(AJ18-AJ22)*'01_가정'!H10/(1+'01_가정'!$F$85)*'01_가정'!H54</f>
        <v>0</v>
      </c>
      <c r="AK31" s="17">
        <f>(AK18-AK22)*'01_가정'!H10/(1+'01_가정'!$F$85)*'01_가정'!H54</f>
        <v>0</v>
      </c>
      <c r="AL31" s="17">
        <f>(AL18-AL22)*'01_가정'!H10/(1+'01_가정'!$F$85)*'01_가정'!H54</f>
        <v>0</v>
      </c>
      <c r="AM31" s="17">
        <f>(AM18-AM22)*'01_가정'!H10/(1+'01_가정'!$F$85)*'01_가정'!H54</f>
        <v>0</v>
      </c>
      <c r="AN31" s="17">
        <f>(AN18-AN22)*'01_가정'!H10/(1+'01_가정'!$F$85)*'01_가정'!H54</f>
        <v>0</v>
      </c>
      <c r="AO31" s="17">
        <f>(AO18-AO22)*'01_가정'!H10/(1+'01_가정'!$F$85)*'01_가정'!H54</f>
        <v>0</v>
      </c>
      <c r="AP31" s="17">
        <f>(AP18-AP22)*'01_가정'!H10/(1+'01_가정'!$F$85)*'01_가정'!H54</f>
        <v>0</v>
      </c>
      <c r="AQ31" s="17">
        <f>(AQ18-AQ22)*'01_가정'!H10/(1+'01_가정'!$F$85)*'01_가정'!H54</f>
        <v>0</v>
      </c>
      <c r="AR31" s="17">
        <f>(AR18-AR22)*'01_가정'!H10/(1+'01_가정'!$F$85)*'01_가정'!H54</f>
        <v>0</v>
      </c>
      <c r="AS31" s="17">
        <f>(AS18-AS22)*'01_가정'!H10/(1+'01_가정'!$F$85)*'01_가정'!H54</f>
        <v>0</v>
      </c>
    </row>
    <row r="32" spans="1:45" ht="22.95" customHeight="1">
      <c r="A32" s="1"/>
      <c r="B32" s="1"/>
      <c r="C32" s="1" t="s">
        <v>12</v>
      </c>
      <c r="D32" s="1" t="s">
        <v>11</v>
      </c>
      <c r="E32" s="1"/>
      <c r="F32" s="19">
        <f t="shared" si="13"/>
        <v>29988</v>
      </c>
      <c r="G32" s="19">
        <f t="shared" si="14"/>
        <v>2331401.5752242031</v>
      </c>
      <c r="H32" s="19">
        <f t="shared" si="15"/>
        <v>7407828.8483196441</v>
      </c>
      <c r="I32" s="1"/>
      <c r="J32" s="17">
        <f>J29*'02_단위경제'!F44</f>
        <v>0</v>
      </c>
      <c r="K32" s="17">
        <f>K29*'02_단위경제'!F44</f>
        <v>0</v>
      </c>
      <c r="L32" s="17">
        <f>L29*'02_단위경제'!F44</f>
        <v>0</v>
      </c>
      <c r="M32" s="17">
        <f>M29*'02_단위경제'!F44</f>
        <v>0</v>
      </c>
      <c r="N32" s="17">
        <f>N29*'02_단위경제'!F44</f>
        <v>0</v>
      </c>
      <c r="O32" s="17">
        <f>O29*'02_단위경제'!F44</f>
        <v>0</v>
      </c>
      <c r="P32" s="17">
        <f>P29*'02_단위경제'!F44</f>
        <v>0</v>
      </c>
      <c r="Q32" s="17">
        <f>Q29*'02_단위경제'!F44</f>
        <v>0</v>
      </c>
      <c r="R32" s="17">
        <f>R29*'02_단위경제'!F44</f>
        <v>0</v>
      </c>
      <c r="S32" s="17">
        <f>S29*'02_단위경제'!F44</f>
        <v>0</v>
      </c>
      <c r="T32" s="17">
        <f>T29*'02_단위경제'!F44</f>
        <v>8996.4</v>
      </c>
      <c r="U32" s="17">
        <f>U29*'02_단위경제'!F44</f>
        <v>20991.599999999999</v>
      </c>
      <c r="V32" s="17">
        <f>V29*'02_단위경제'!G44</f>
        <v>35115.947999999997</v>
      </c>
      <c r="W32" s="17">
        <f>W29*'02_단위경제'!G44</f>
        <v>89793.703439999997</v>
      </c>
      <c r="X32" s="17">
        <f>X29*'02_단위경제'!G44</f>
        <v>132442.35268320001</v>
      </c>
      <c r="Y32" s="17">
        <f>Y29*'02_단위경제'!G44</f>
        <v>165708.29909289602</v>
      </c>
      <c r="Z32" s="17">
        <f>Z29*'02_단위경제'!G44</f>
        <v>191655.73729245891</v>
      </c>
      <c r="AA32" s="17">
        <f>AA29*'02_단위경제'!G44</f>
        <v>211894.73908811796</v>
      </c>
      <c r="AB32" s="17">
        <f>AB29*'02_단위경제'!G44</f>
        <v>227681.16048873201</v>
      </c>
      <c r="AC32" s="17">
        <f>AC29*'02_단위경제'!G44</f>
        <v>239994.56918121094</v>
      </c>
      <c r="AD32" s="17">
        <f>AD29*'02_단위경제'!G44</f>
        <v>249599.02796134452</v>
      </c>
      <c r="AE32" s="17">
        <f>AE29*'02_단위경제'!G44</f>
        <v>257090.50580984872</v>
      </c>
      <c r="AF32" s="17">
        <f>AF29*'02_단위경제'!G44</f>
        <v>262933.858531682</v>
      </c>
      <c r="AG32" s="17">
        <f>AG29*'02_단위경제'!G44</f>
        <v>267491.67365471198</v>
      </c>
      <c r="AH32" s="17">
        <f>AH29*'02_단위경제'!H44</f>
        <v>276396.60292376956</v>
      </c>
      <c r="AI32" s="17">
        <f>AI29*'02_단위경제'!H44</f>
        <v>387815.28233901568</v>
      </c>
      <c r="AJ32" s="17">
        <f>AJ29*'02_단위경제'!H44</f>
        <v>476950.22587121255</v>
      </c>
      <c r="AK32" s="17">
        <f>AK29*'02_단위경제'!H44</f>
        <v>548258.18069697008</v>
      </c>
      <c r="AL32" s="17">
        <f>AL29*'02_단위경제'!H44</f>
        <v>605304.54455757607</v>
      </c>
      <c r="AM32" s="17">
        <f>AM29*'02_단위경제'!H44</f>
        <v>650941.63564606092</v>
      </c>
      <c r="AN32" s="17">
        <f>AN29*'02_단위경제'!H44</f>
        <v>687451.30851684872</v>
      </c>
      <c r="AO32" s="17">
        <f>AO29*'02_단위경제'!H44</f>
        <v>716659.04681347893</v>
      </c>
      <c r="AP32" s="17">
        <f>AP29*'02_단위경제'!H44</f>
        <v>740025.23745078314</v>
      </c>
      <c r="AQ32" s="17">
        <f>AQ29*'02_단위경제'!H44</f>
        <v>758718.18996062654</v>
      </c>
      <c r="AR32" s="17">
        <f>AR29*'02_단위경제'!H44</f>
        <v>773672.55196850107</v>
      </c>
      <c r="AS32" s="17">
        <f>AS29*'02_단위경제'!H44</f>
        <v>785636.04157480074</v>
      </c>
    </row>
    <row r="33" spans="1:45" ht="22.95" customHeight="1">
      <c r="A33" s="1"/>
      <c r="B33" s="1"/>
      <c r="C33" s="8" t="s">
        <v>10</v>
      </c>
      <c r="D33" s="8" t="s">
        <v>11</v>
      </c>
      <c r="E33" s="8"/>
      <c r="F33" s="9">
        <f t="shared" si="13"/>
        <v>5612169.8181818174</v>
      </c>
      <c r="G33" s="9">
        <f t="shared" si="14"/>
        <v>85304201.575224191</v>
      </c>
      <c r="H33" s="9">
        <f t="shared" si="15"/>
        <v>184724192.48468328</v>
      </c>
      <c r="I33" s="8"/>
      <c r="J33" s="9">
        <f t="shared" ref="J33:AS33" si="16">SUM(J30:J32)</f>
        <v>0</v>
      </c>
      <c r="K33" s="9">
        <f t="shared" si="16"/>
        <v>0</v>
      </c>
      <c r="L33" s="9">
        <f t="shared" si="16"/>
        <v>0</v>
      </c>
      <c r="M33" s="9">
        <f t="shared" si="16"/>
        <v>0</v>
      </c>
      <c r="N33" s="9">
        <f t="shared" si="16"/>
        <v>0</v>
      </c>
      <c r="O33" s="9">
        <f t="shared" si="16"/>
        <v>0</v>
      </c>
      <c r="P33" s="9">
        <f t="shared" si="16"/>
        <v>0</v>
      </c>
      <c r="Q33" s="9">
        <f t="shared" si="16"/>
        <v>0</v>
      </c>
      <c r="R33" s="9">
        <f t="shared" si="16"/>
        <v>0</v>
      </c>
      <c r="S33" s="9">
        <f t="shared" si="16"/>
        <v>1196181.8181818181</v>
      </c>
      <c r="T33" s="9">
        <f t="shared" si="16"/>
        <v>1902950.9454545451</v>
      </c>
      <c r="U33" s="9">
        <f t="shared" si="16"/>
        <v>2513037.0545454542</v>
      </c>
      <c r="V33" s="9">
        <f t="shared" si="16"/>
        <v>6949515.9479999989</v>
      </c>
      <c r="W33" s="9">
        <f t="shared" si="16"/>
        <v>7004193.7034399994</v>
      </c>
      <c r="X33" s="9">
        <f t="shared" si="16"/>
        <v>7046842.3526831986</v>
      </c>
      <c r="Y33" s="9">
        <f t="shared" si="16"/>
        <v>7080108.2990928954</v>
      </c>
      <c r="Z33" s="9">
        <f t="shared" si="16"/>
        <v>7106055.7372924583</v>
      </c>
      <c r="AA33" s="9">
        <f t="shared" si="16"/>
        <v>7126294.7390881171</v>
      </c>
      <c r="AB33" s="9">
        <f t="shared" si="16"/>
        <v>7142081.1604887312</v>
      </c>
      <c r="AC33" s="9">
        <f t="shared" si="16"/>
        <v>7154394.5691812104</v>
      </c>
      <c r="AD33" s="9">
        <f t="shared" si="16"/>
        <v>7163999.0279613435</v>
      </c>
      <c r="AE33" s="9">
        <f t="shared" si="16"/>
        <v>7171490.5058098482</v>
      </c>
      <c r="AF33" s="9">
        <f t="shared" si="16"/>
        <v>7177333.8585316809</v>
      </c>
      <c r="AG33" s="9">
        <f t="shared" si="16"/>
        <v>7181891.6736547109</v>
      </c>
      <c r="AH33" s="9">
        <f t="shared" si="16"/>
        <v>15052760.239287404</v>
      </c>
      <c r="AI33" s="9">
        <f t="shared" si="16"/>
        <v>15164178.918702651</v>
      </c>
      <c r="AJ33" s="9">
        <f t="shared" si="16"/>
        <v>15253313.862234848</v>
      </c>
      <c r="AK33" s="9">
        <f t="shared" si="16"/>
        <v>15324621.817060605</v>
      </c>
      <c r="AL33" s="9">
        <f t="shared" si="16"/>
        <v>15381668.180921212</v>
      </c>
      <c r="AM33" s="9">
        <f t="shared" si="16"/>
        <v>15427305.272009695</v>
      </c>
      <c r="AN33" s="9">
        <f t="shared" si="16"/>
        <v>15463814.944880484</v>
      </c>
      <c r="AO33" s="9">
        <f t="shared" si="16"/>
        <v>15493022.683177114</v>
      </c>
      <c r="AP33" s="9">
        <f t="shared" si="16"/>
        <v>15516388.873814419</v>
      </c>
      <c r="AQ33" s="9">
        <f t="shared" si="16"/>
        <v>15535081.826324262</v>
      </c>
      <c r="AR33" s="9">
        <f t="shared" si="16"/>
        <v>15550036.188332137</v>
      </c>
      <c r="AS33" s="9">
        <f t="shared" si="16"/>
        <v>15561999.677938435</v>
      </c>
    </row>
    <row r="34" spans="1:45" ht="22.95" customHeight="1">
      <c r="A34" s="1"/>
      <c r="B34" s="1"/>
      <c r="C34" s="1" t="s">
        <v>237</v>
      </c>
      <c r="D34" s="1" t="s">
        <v>11</v>
      </c>
      <c r="E34" s="1"/>
      <c r="F34" s="19">
        <f t="shared" si="13"/>
        <v>3920000</v>
      </c>
      <c r="G34" s="19">
        <f t="shared" si="14"/>
        <v>53370874.637214482</v>
      </c>
      <c r="H34" s="19">
        <f t="shared" si="15"/>
        <v>102595928.82499336</v>
      </c>
      <c r="I34" s="1"/>
      <c r="J34" s="17">
        <f>'04_재고현금'!J16</f>
        <v>0</v>
      </c>
      <c r="K34" s="17">
        <f>'04_재고현금'!K16</f>
        <v>0</v>
      </c>
      <c r="L34" s="17">
        <f>'04_재고현금'!L16</f>
        <v>0</v>
      </c>
      <c r="M34" s="17">
        <f>'04_재고현금'!M16</f>
        <v>0</v>
      </c>
      <c r="N34" s="17">
        <f>'04_재고현금'!N16</f>
        <v>0</v>
      </c>
      <c r="O34" s="17">
        <f>'04_재고현금'!O16</f>
        <v>0</v>
      </c>
      <c r="P34" s="17">
        <f>'04_재고현금'!P16</f>
        <v>0</v>
      </c>
      <c r="Q34" s="17">
        <f>'04_재고현금'!Q16</f>
        <v>0</v>
      </c>
      <c r="R34" s="17">
        <f>'04_재고현금'!R16</f>
        <v>0</v>
      </c>
      <c r="S34" s="17">
        <f>'04_재고현금'!S16</f>
        <v>840000</v>
      </c>
      <c r="T34" s="17">
        <f>'04_재고현금'!T16</f>
        <v>1330000</v>
      </c>
      <c r="U34" s="17">
        <f>'04_재고현금'!U16</f>
        <v>1750000</v>
      </c>
      <c r="V34" s="17">
        <f>'04_재고현금'!V16</f>
        <v>4505257.3529411759</v>
      </c>
      <c r="W34" s="17">
        <f>'04_재고현금'!W16</f>
        <v>4505257.3529411759</v>
      </c>
      <c r="X34" s="17">
        <f>'04_재고현금'!X16</f>
        <v>4505257.3529411759</v>
      </c>
      <c r="Y34" s="17">
        <f>'04_재고현금'!Y16</f>
        <v>4505257.3529411759</v>
      </c>
      <c r="Z34" s="17">
        <f>'04_재고현금'!Z16</f>
        <v>4505257.352941175</v>
      </c>
      <c r="AA34" s="17">
        <f>'04_재고현금'!AA16</f>
        <v>4505257.352941175</v>
      </c>
      <c r="AB34" s="17">
        <f>'04_재고현금'!AB16</f>
        <v>4403272.7242480703</v>
      </c>
      <c r="AC34" s="17">
        <f>'04_재고현금'!AC16</f>
        <v>4403272.7242480703</v>
      </c>
      <c r="AD34" s="17">
        <f>'04_재고현금'!AD16</f>
        <v>4403272.7242480703</v>
      </c>
      <c r="AE34" s="17">
        <f>'04_재고현금'!AE16</f>
        <v>4376504.1156077357</v>
      </c>
      <c r="AF34" s="17">
        <f>'04_재고현금'!AF16</f>
        <v>4376504.1156077357</v>
      </c>
      <c r="AG34" s="17">
        <f>'04_재고현금'!AG16</f>
        <v>4376504.1156077357</v>
      </c>
      <c r="AH34" s="17">
        <f>'04_재고현금'!AH16</f>
        <v>8795746.1731093358</v>
      </c>
      <c r="AI34" s="17">
        <f>'04_재고현금'!AI16</f>
        <v>8795746.173109334</v>
      </c>
      <c r="AJ34" s="17">
        <f>'04_재고현금'!AJ16</f>
        <v>8795746.1731093358</v>
      </c>
      <c r="AK34" s="17">
        <f>'04_재고현금'!AK16</f>
        <v>8567431.0732385665</v>
      </c>
      <c r="AL34" s="17">
        <f>'04_재고현금'!AL16</f>
        <v>8567431.0732385647</v>
      </c>
      <c r="AM34" s="17">
        <f>'04_재고현금'!AM16</f>
        <v>8567431.0732385647</v>
      </c>
      <c r="AN34" s="17">
        <f>'04_재고현금'!AN16</f>
        <v>8423918.7247483674</v>
      </c>
      <c r="AO34" s="17">
        <f>'04_재고현금'!AO16</f>
        <v>8423918.7247483674</v>
      </c>
      <c r="AP34" s="17">
        <f>'04_재고현금'!AP16</f>
        <v>8423918.7247483693</v>
      </c>
      <c r="AQ34" s="17">
        <f>'04_재고현금'!AQ16</f>
        <v>8411546.9705681764</v>
      </c>
      <c r="AR34" s="17">
        <f>'04_재고현금'!AR16</f>
        <v>8411546.9705681764</v>
      </c>
      <c r="AS34" s="17">
        <f>'04_재고현금'!AS16</f>
        <v>8411546.9705681764</v>
      </c>
    </row>
    <row r="35" spans="1:45" ht="22.95" customHeight="1">
      <c r="A35" s="1"/>
      <c r="B35" s="1"/>
      <c r="C35" s="1" t="s">
        <v>769</v>
      </c>
      <c r="D35" s="1" t="s">
        <v>11</v>
      </c>
      <c r="E35" s="1"/>
      <c r="F35" s="19">
        <f t="shared" si="13"/>
        <v>15300</v>
      </c>
      <c r="G35" s="19">
        <f t="shared" si="14"/>
        <v>1136624.3507328881</v>
      </c>
      <c r="H35" s="19">
        <f t="shared" si="15"/>
        <v>3359559.568398932</v>
      </c>
      <c r="I35" s="1"/>
      <c r="J35" s="17">
        <f>J29*'01_가정'!F74</f>
        <v>0</v>
      </c>
      <c r="K35" s="17">
        <f>K29*'01_가정'!F74</f>
        <v>0</v>
      </c>
      <c r="L35" s="17">
        <f>L29*'01_가정'!F74</f>
        <v>0</v>
      </c>
      <c r="M35" s="17">
        <f>M29*'01_가정'!F74</f>
        <v>0</v>
      </c>
      <c r="N35" s="17">
        <f>N29*'01_가정'!F74</f>
        <v>0</v>
      </c>
      <c r="O35" s="17">
        <f>O29*'01_가정'!F74</f>
        <v>0</v>
      </c>
      <c r="P35" s="17">
        <f>P29*'01_가정'!F74</f>
        <v>0</v>
      </c>
      <c r="Q35" s="17">
        <f>Q29*'01_가정'!F74</f>
        <v>0</v>
      </c>
      <c r="R35" s="17">
        <f>R29*'01_가정'!F74</f>
        <v>0</v>
      </c>
      <c r="S35" s="17">
        <f>S29*'01_가정'!F74</f>
        <v>0</v>
      </c>
      <c r="T35" s="17">
        <f>T29*'01_가정'!F74</f>
        <v>4590</v>
      </c>
      <c r="U35" s="17">
        <f>U29*'01_가정'!F74</f>
        <v>10710</v>
      </c>
      <c r="V35" s="17">
        <f>V29*'01_가정'!G74</f>
        <v>17120.02</v>
      </c>
      <c r="W35" s="17">
        <f>W29*'01_가정'!G74</f>
        <v>43776.975600000005</v>
      </c>
      <c r="X35" s="17">
        <f>X29*'01_가정'!G74</f>
        <v>64569.400968000009</v>
      </c>
      <c r="Y35" s="17">
        <f>Y29*'01_가정'!G74</f>
        <v>80787.492755040003</v>
      </c>
      <c r="Z35" s="17">
        <f>Z29*'01_가정'!G74</f>
        <v>93437.604348931214</v>
      </c>
      <c r="AA35" s="17">
        <f>AA29*'01_가정'!G74</f>
        <v>103304.69139216635</v>
      </c>
      <c r="AB35" s="17">
        <f>AB29*'01_가정'!G74</f>
        <v>111001.01928588975</v>
      </c>
      <c r="AC35" s="17">
        <f>AC29*'01_가정'!G74</f>
        <v>117004.155042994</v>
      </c>
      <c r="AD35" s="17">
        <f>AD29*'01_가정'!G74</f>
        <v>121686.60093353532</v>
      </c>
      <c r="AE35" s="17">
        <f>AE29*'01_가정'!G74</f>
        <v>125338.90872815755</v>
      </c>
      <c r="AF35" s="17">
        <f>AF29*'01_가정'!G74</f>
        <v>128187.70880796287</v>
      </c>
      <c r="AG35" s="17">
        <f>AG29*'01_가정'!G74</f>
        <v>130409.77287021105</v>
      </c>
      <c r="AH35" s="17">
        <f>AH29*'01_가정'!H74</f>
        <v>125349.93329876171</v>
      </c>
      <c r="AI35" s="17">
        <f>AI29*'01_가정'!H74</f>
        <v>175879.94663900937</v>
      </c>
      <c r="AJ35" s="17">
        <f>AJ29*'01_가정'!H74</f>
        <v>216303.95731120752</v>
      </c>
      <c r="AK35" s="17">
        <f>AK29*'01_가정'!H74</f>
        <v>248643.16584896602</v>
      </c>
      <c r="AL35" s="17">
        <f>AL29*'01_가정'!H74</f>
        <v>274514.53267917281</v>
      </c>
      <c r="AM35" s="17">
        <f>AM29*'01_가정'!H74</f>
        <v>295211.62614333828</v>
      </c>
      <c r="AN35" s="17">
        <f>AN29*'01_가정'!H74</f>
        <v>311769.30091467063</v>
      </c>
      <c r="AO35" s="17">
        <f>AO29*'01_가정'!H74</f>
        <v>325015.44073173648</v>
      </c>
      <c r="AP35" s="17">
        <f>AP29*'01_가정'!H74</f>
        <v>335612.35258538922</v>
      </c>
      <c r="AQ35" s="17">
        <f>AQ29*'01_가정'!H74</f>
        <v>344089.88206831133</v>
      </c>
      <c r="AR35" s="17">
        <f>AR29*'01_가정'!H74</f>
        <v>350871.90565464902</v>
      </c>
      <c r="AS35" s="17">
        <f>AS29*'01_가정'!H74</f>
        <v>356297.52452371916</v>
      </c>
    </row>
    <row r="36" spans="1:45" ht="22.95" customHeight="1">
      <c r="A36" s="1"/>
      <c r="B36" s="1"/>
      <c r="C36" s="8" t="s">
        <v>238</v>
      </c>
      <c r="D36" s="8" t="s">
        <v>11</v>
      </c>
      <c r="E36" s="8"/>
      <c r="F36" s="9">
        <f t="shared" si="13"/>
        <v>1676869.8181818174</v>
      </c>
      <c r="G36" s="9">
        <f t="shared" si="14"/>
        <v>30796702.587276835</v>
      </c>
      <c r="H36" s="9">
        <f t="shared" si="15"/>
        <v>78768704.09129101</v>
      </c>
      <c r="I36" s="8"/>
      <c r="J36" s="9">
        <f t="shared" ref="J36:AS36" si="17">J33-SUM(J34:J35)</f>
        <v>0</v>
      </c>
      <c r="K36" s="9">
        <f t="shared" si="17"/>
        <v>0</v>
      </c>
      <c r="L36" s="9">
        <f t="shared" si="17"/>
        <v>0</v>
      </c>
      <c r="M36" s="9">
        <f t="shared" si="17"/>
        <v>0</v>
      </c>
      <c r="N36" s="9">
        <f t="shared" si="17"/>
        <v>0</v>
      </c>
      <c r="O36" s="9">
        <f t="shared" si="17"/>
        <v>0</v>
      </c>
      <c r="P36" s="9">
        <f t="shared" si="17"/>
        <v>0</v>
      </c>
      <c r="Q36" s="9">
        <f t="shared" si="17"/>
        <v>0</v>
      </c>
      <c r="R36" s="9">
        <f t="shared" si="17"/>
        <v>0</v>
      </c>
      <c r="S36" s="9">
        <f t="shared" si="17"/>
        <v>356181.81818181812</v>
      </c>
      <c r="T36" s="9">
        <f t="shared" si="17"/>
        <v>568360.94545454509</v>
      </c>
      <c r="U36" s="9">
        <f t="shared" si="17"/>
        <v>752327.05454545422</v>
      </c>
      <c r="V36" s="9">
        <f t="shared" si="17"/>
        <v>2427138.5750588235</v>
      </c>
      <c r="W36" s="9">
        <f t="shared" si="17"/>
        <v>2455159.374898823</v>
      </c>
      <c r="X36" s="9">
        <f t="shared" si="17"/>
        <v>2477015.5987740224</v>
      </c>
      <c r="Y36" s="9">
        <f t="shared" si="17"/>
        <v>2494063.4533966798</v>
      </c>
      <c r="Z36" s="9">
        <f t="shared" si="17"/>
        <v>2507360.7800023519</v>
      </c>
      <c r="AA36" s="9">
        <f t="shared" si="17"/>
        <v>2517732.6947547756</v>
      </c>
      <c r="AB36" s="9">
        <f t="shared" si="17"/>
        <v>2627807.4169547716</v>
      </c>
      <c r="AC36" s="9">
        <f t="shared" si="17"/>
        <v>2634117.6898901463</v>
      </c>
      <c r="AD36" s="9">
        <f t="shared" si="17"/>
        <v>2639039.7027797382</v>
      </c>
      <c r="AE36" s="9">
        <f t="shared" si="17"/>
        <v>2669647.4814739553</v>
      </c>
      <c r="AF36" s="9">
        <f t="shared" si="17"/>
        <v>2672642.0341159822</v>
      </c>
      <c r="AG36" s="9">
        <f t="shared" si="17"/>
        <v>2674977.7851767642</v>
      </c>
      <c r="AH36" s="9">
        <f t="shared" si="17"/>
        <v>6131664.1328793075</v>
      </c>
      <c r="AI36" s="9">
        <f t="shared" si="17"/>
        <v>6192552.798954308</v>
      </c>
      <c r="AJ36" s="9">
        <f t="shared" si="17"/>
        <v>6241263.7318143044</v>
      </c>
      <c r="AK36" s="9">
        <f t="shared" si="17"/>
        <v>6508547.5779730715</v>
      </c>
      <c r="AL36" s="9">
        <f t="shared" si="17"/>
        <v>6539722.575003475</v>
      </c>
      <c r="AM36" s="9">
        <f t="shared" si="17"/>
        <v>6564662.5726277921</v>
      </c>
      <c r="AN36" s="9">
        <f t="shared" si="17"/>
        <v>6728126.919217445</v>
      </c>
      <c r="AO36" s="9">
        <f t="shared" si="17"/>
        <v>6744088.5176970102</v>
      </c>
      <c r="AP36" s="9">
        <f t="shared" si="17"/>
        <v>6756857.7964806613</v>
      </c>
      <c r="AQ36" s="9">
        <f t="shared" si="17"/>
        <v>6779444.9736877736</v>
      </c>
      <c r="AR36" s="9">
        <f t="shared" si="17"/>
        <v>6787617.312109312</v>
      </c>
      <c r="AS36" s="9">
        <f t="shared" si="17"/>
        <v>6794155.1828465406</v>
      </c>
    </row>
    <row r="37" spans="1:45" ht="22.95" customHeight="1">
      <c r="A37" s="1"/>
      <c r="B37" s="1"/>
      <c r="C37" s="1" t="s">
        <v>239</v>
      </c>
      <c r="D37" s="1" t="s">
        <v>11</v>
      </c>
      <c r="E37" s="1"/>
      <c r="F37" s="19">
        <f>SUM(J37:U37)</f>
        <v>184212</v>
      </c>
      <c r="G37" s="19">
        <f t="shared" si="14"/>
        <v>2738102.4000000004</v>
      </c>
      <c r="H37" s="19">
        <f t="shared" si="15"/>
        <v>5851440</v>
      </c>
      <c r="I37" s="1"/>
      <c r="J37" s="17">
        <f>J30*'01_가정'!$F$86</f>
        <v>0</v>
      </c>
      <c r="K37" s="17">
        <f>K30*'01_가정'!$F$86</f>
        <v>0</v>
      </c>
      <c r="L37" s="17">
        <f>L30*'01_가정'!$F$86</f>
        <v>0</v>
      </c>
      <c r="M37" s="17">
        <f>M30*'01_가정'!$F$86</f>
        <v>0</v>
      </c>
      <c r="N37" s="17">
        <f>N30*'01_가정'!$F$86</f>
        <v>0</v>
      </c>
      <c r="O37" s="17">
        <f>O30*'01_가정'!$F$86</f>
        <v>0</v>
      </c>
      <c r="P37" s="17">
        <f>P30*'01_가정'!$F$86</f>
        <v>0</v>
      </c>
      <c r="Q37" s="17">
        <f>Q30*'01_가정'!$F$86</f>
        <v>0</v>
      </c>
      <c r="R37" s="17">
        <f>R30*'01_가정'!$F$86</f>
        <v>0</v>
      </c>
      <c r="S37" s="17">
        <f>S30*'01_가정'!$F$86</f>
        <v>39474</v>
      </c>
      <c r="T37" s="17">
        <f>T30*'01_가정'!$F$86</f>
        <v>62500.499999999993</v>
      </c>
      <c r="U37" s="17">
        <f>U30*'01_가정'!$F$86</f>
        <v>82237.499999999985</v>
      </c>
      <c r="V37" s="17">
        <f>V30*'01_가정'!$F$86</f>
        <v>228175.19999999998</v>
      </c>
      <c r="W37" s="17">
        <f>W30*'01_가정'!$F$86</f>
        <v>228175.19999999998</v>
      </c>
      <c r="X37" s="17">
        <f>X30*'01_가정'!$F$86</f>
        <v>228175.19999999998</v>
      </c>
      <c r="Y37" s="17">
        <f>Y30*'01_가정'!$F$86</f>
        <v>228175.19999999998</v>
      </c>
      <c r="Z37" s="17">
        <f>Z30*'01_가정'!$F$86</f>
        <v>228175.19999999998</v>
      </c>
      <c r="AA37" s="17">
        <f>AA30*'01_가정'!$F$86</f>
        <v>228175.19999999998</v>
      </c>
      <c r="AB37" s="17">
        <f>AB30*'01_가정'!$F$86</f>
        <v>228175.19999999998</v>
      </c>
      <c r="AC37" s="17">
        <f>AC30*'01_가정'!$F$86</f>
        <v>228175.19999999998</v>
      </c>
      <c r="AD37" s="17">
        <f>AD30*'01_가정'!$F$86</f>
        <v>228175.19999999998</v>
      </c>
      <c r="AE37" s="17">
        <f>AE30*'01_가정'!$F$86</f>
        <v>228175.19999999998</v>
      </c>
      <c r="AF37" s="17">
        <f>AF30*'01_가정'!$F$86</f>
        <v>228175.19999999998</v>
      </c>
      <c r="AG37" s="17">
        <f>AG30*'01_가정'!$F$86</f>
        <v>228175.19999999998</v>
      </c>
      <c r="AH37" s="17">
        <f>AH30*'01_가정'!$F$86</f>
        <v>487620</v>
      </c>
      <c r="AI37" s="17">
        <f>AI30*'01_가정'!$F$86</f>
        <v>487620</v>
      </c>
      <c r="AJ37" s="17">
        <f>AJ30*'01_가정'!$F$86</f>
        <v>487620</v>
      </c>
      <c r="AK37" s="17">
        <f>AK30*'01_가정'!$F$86</f>
        <v>487620</v>
      </c>
      <c r="AL37" s="17">
        <f>AL30*'01_가정'!$F$86</f>
        <v>487620</v>
      </c>
      <c r="AM37" s="17">
        <f>AM30*'01_가정'!$F$86</f>
        <v>487620</v>
      </c>
      <c r="AN37" s="17">
        <f>AN30*'01_가정'!$F$86</f>
        <v>487620</v>
      </c>
      <c r="AO37" s="17">
        <f>AO30*'01_가정'!$F$86</f>
        <v>487620</v>
      </c>
      <c r="AP37" s="17">
        <f>AP30*'01_가정'!$F$86</f>
        <v>487620</v>
      </c>
      <c r="AQ37" s="17">
        <f>AQ30*'01_가정'!$F$86</f>
        <v>487620</v>
      </c>
      <c r="AR37" s="17">
        <f>AR30*'01_가정'!$F$86</f>
        <v>487620</v>
      </c>
      <c r="AS37" s="17">
        <f>AS30*'01_가정'!$F$86</f>
        <v>487620</v>
      </c>
    </row>
    <row r="38" spans="1:45" ht="22.95" customHeight="1">
      <c r="A38" s="1"/>
      <c r="B38" s="1"/>
      <c r="C38" s="1" t="s">
        <v>240</v>
      </c>
      <c r="D38" s="1" t="s">
        <v>11</v>
      </c>
      <c r="E38" s="1"/>
      <c r="F38" s="19">
        <f t="shared" si="13"/>
        <v>252000</v>
      </c>
      <c r="G38" s="19">
        <f t="shared" si="14"/>
        <v>3618000</v>
      </c>
      <c r="H38" s="19">
        <f t="shared" si="15"/>
        <v>7560000</v>
      </c>
      <c r="I38" s="1"/>
      <c r="J38" s="17">
        <f>J17*'01_가정'!$F$87</f>
        <v>0</v>
      </c>
      <c r="K38" s="17">
        <f>K17*'01_가정'!$F$87</f>
        <v>0</v>
      </c>
      <c r="L38" s="17">
        <f>L17*'01_가정'!$F$87</f>
        <v>0</v>
      </c>
      <c r="M38" s="17">
        <f>M17*'01_가정'!$F$87</f>
        <v>0</v>
      </c>
      <c r="N38" s="17">
        <f>N17*'01_가정'!$F$87</f>
        <v>0</v>
      </c>
      <c r="O38" s="17">
        <f>O17*'01_가정'!$F$87</f>
        <v>0</v>
      </c>
      <c r="P38" s="17">
        <f>P17*'01_가정'!$F$87</f>
        <v>0</v>
      </c>
      <c r="Q38" s="17">
        <f>Q17*'01_가정'!$F$87</f>
        <v>0</v>
      </c>
      <c r="R38" s="17">
        <f>R17*'01_가정'!$F$87</f>
        <v>0</v>
      </c>
      <c r="S38" s="17">
        <f>S17*'01_가정'!$F$87</f>
        <v>54000</v>
      </c>
      <c r="T38" s="17">
        <f>T17*'01_가정'!$F$87</f>
        <v>85500</v>
      </c>
      <c r="U38" s="17">
        <f>U17*'01_가정'!$F$87</f>
        <v>112500</v>
      </c>
      <c r="V38" s="17">
        <f>V17*'01_가정'!$F$87</f>
        <v>301500</v>
      </c>
      <c r="W38" s="17">
        <f>W17*'01_가정'!$F$87</f>
        <v>301500</v>
      </c>
      <c r="X38" s="17">
        <f>X17*'01_가정'!$F$87</f>
        <v>301500</v>
      </c>
      <c r="Y38" s="17">
        <f>Y17*'01_가정'!$F$87</f>
        <v>301500</v>
      </c>
      <c r="Z38" s="17">
        <f>Z17*'01_가정'!$F$87</f>
        <v>301500</v>
      </c>
      <c r="AA38" s="17">
        <f>AA17*'01_가정'!$F$87</f>
        <v>301500</v>
      </c>
      <c r="AB38" s="17">
        <f>AB17*'01_가정'!$F$87</f>
        <v>301500</v>
      </c>
      <c r="AC38" s="17">
        <f>AC17*'01_가정'!$F$87</f>
        <v>301500</v>
      </c>
      <c r="AD38" s="17">
        <f>AD17*'01_가정'!$F$87</f>
        <v>301500</v>
      </c>
      <c r="AE38" s="17">
        <f>AE17*'01_가정'!$F$87</f>
        <v>301500</v>
      </c>
      <c r="AF38" s="17">
        <f>AF17*'01_가정'!$F$87</f>
        <v>301500</v>
      </c>
      <c r="AG38" s="17">
        <f>AG17*'01_가정'!$F$87</f>
        <v>301500</v>
      </c>
      <c r="AH38" s="17">
        <f>AH17*'01_가정'!$F$87</f>
        <v>630000</v>
      </c>
      <c r="AI38" s="17">
        <f>AI17*'01_가정'!$F$87</f>
        <v>630000</v>
      </c>
      <c r="AJ38" s="17">
        <f>AJ17*'01_가정'!$F$87</f>
        <v>630000</v>
      </c>
      <c r="AK38" s="17">
        <f>AK17*'01_가정'!$F$87</f>
        <v>630000</v>
      </c>
      <c r="AL38" s="17">
        <f>AL17*'01_가정'!$F$87</f>
        <v>630000</v>
      </c>
      <c r="AM38" s="17">
        <f>AM17*'01_가정'!$F$87</f>
        <v>630000</v>
      </c>
      <c r="AN38" s="17">
        <f>AN17*'01_가정'!$F$87</f>
        <v>630000</v>
      </c>
      <c r="AO38" s="17">
        <f>AO17*'01_가정'!$F$87</f>
        <v>630000</v>
      </c>
      <c r="AP38" s="17">
        <f>AP17*'01_가정'!$F$87</f>
        <v>630000</v>
      </c>
      <c r="AQ38" s="17">
        <f>AQ17*'01_가정'!$F$87</f>
        <v>630000</v>
      </c>
      <c r="AR38" s="17">
        <f>AR17*'01_가정'!$F$87</f>
        <v>630000</v>
      </c>
      <c r="AS38" s="17">
        <f>AS17*'01_가정'!$F$87</f>
        <v>630000</v>
      </c>
    </row>
    <row r="39" spans="1:45" ht="22.95" customHeight="1">
      <c r="A39" s="1"/>
      <c r="B39" s="1"/>
      <c r="C39" s="1" t="s">
        <v>241</v>
      </c>
      <c r="D39" s="1" t="s">
        <v>11</v>
      </c>
      <c r="E39" s="1"/>
      <c r="F39" s="19">
        <f t="shared" si="13"/>
        <v>50400</v>
      </c>
      <c r="G39" s="19">
        <f t="shared" si="14"/>
        <v>578879.99999999988</v>
      </c>
      <c r="H39" s="19">
        <f t="shared" si="15"/>
        <v>1008000</v>
      </c>
      <c r="I39" s="1"/>
      <c r="J39" s="17">
        <f>SUM(J20,J22)*'01_가정'!$F$88</f>
        <v>0</v>
      </c>
      <c r="K39" s="17">
        <f>SUM(K20,K22)*'01_가정'!$F$88</f>
        <v>0</v>
      </c>
      <c r="L39" s="17">
        <f>SUM(L20,L22)*'01_가정'!$F$88</f>
        <v>0</v>
      </c>
      <c r="M39" s="17">
        <f>SUM(M20,M22)*'01_가정'!$F$88</f>
        <v>0</v>
      </c>
      <c r="N39" s="17">
        <f>SUM(N20,N22)*'01_가정'!$F$88</f>
        <v>0</v>
      </c>
      <c r="O39" s="17">
        <f>SUM(O20,O22)*'01_가정'!$F$88</f>
        <v>0</v>
      </c>
      <c r="P39" s="17">
        <f>SUM(P20,P22)*'01_가정'!$F$88</f>
        <v>0</v>
      </c>
      <c r="Q39" s="17">
        <f>SUM(Q20,Q22)*'01_가정'!$F$88</f>
        <v>0</v>
      </c>
      <c r="R39" s="17">
        <f>SUM(R20,R22)*'01_가정'!$F$88</f>
        <v>0</v>
      </c>
      <c r="S39" s="17">
        <f>SUM(S20,S22)*'01_가정'!$F$88</f>
        <v>10799.999999999998</v>
      </c>
      <c r="T39" s="17">
        <f>SUM(T20,T22)*'01_가정'!$F$88</f>
        <v>17100</v>
      </c>
      <c r="U39" s="17">
        <f>SUM(U20,U22)*'01_가정'!$F$88</f>
        <v>22500</v>
      </c>
      <c r="V39" s="17">
        <f>SUM(V20,V22)*'01_가정'!$F$88</f>
        <v>48239.999999999993</v>
      </c>
      <c r="W39" s="17">
        <f>SUM(W20,W22)*'01_가정'!$F$88</f>
        <v>48239.999999999993</v>
      </c>
      <c r="X39" s="17">
        <f>SUM(X20,X22)*'01_가정'!$F$88</f>
        <v>48239.999999999993</v>
      </c>
      <c r="Y39" s="17">
        <f>SUM(Y20,Y22)*'01_가정'!$F$88</f>
        <v>48239.999999999993</v>
      </c>
      <c r="Z39" s="17">
        <f>SUM(Z20,Z22)*'01_가정'!$F$88</f>
        <v>48239.999999999993</v>
      </c>
      <c r="AA39" s="17">
        <f>SUM(AA20,AA22)*'01_가정'!$F$88</f>
        <v>48239.999999999993</v>
      </c>
      <c r="AB39" s="17">
        <f>SUM(AB20,AB22)*'01_가정'!$F$88</f>
        <v>48239.999999999993</v>
      </c>
      <c r="AC39" s="17">
        <f>SUM(AC20,AC22)*'01_가정'!$F$88</f>
        <v>48239.999999999993</v>
      </c>
      <c r="AD39" s="17">
        <f>SUM(AD20,AD22)*'01_가정'!$F$88</f>
        <v>48239.999999999993</v>
      </c>
      <c r="AE39" s="17">
        <f>SUM(AE20,AE22)*'01_가정'!$F$88</f>
        <v>48239.999999999993</v>
      </c>
      <c r="AF39" s="17">
        <f>SUM(AF20,AF22)*'01_가정'!$F$88</f>
        <v>48239.999999999993</v>
      </c>
      <c r="AG39" s="17">
        <f>SUM(AG20,AG22)*'01_가정'!$F$88</f>
        <v>48239.999999999993</v>
      </c>
      <c r="AH39" s="17">
        <f>SUM(AH20,AH22)*'01_가정'!$F$88</f>
        <v>84000</v>
      </c>
      <c r="AI39" s="17">
        <f>SUM(AI20,AI22)*'01_가정'!$F$88</f>
        <v>84000</v>
      </c>
      <c r="AJ39" s="17">
        <f>SUM(AJ20,AJ22)*'01_가정'!$F$88</f>
        <v>84000</v>
      </c>
      <c r="AK39" s="17">
        <f>SUM(AK20,AK22)*'01_가정'!$F$88</f>
        <v>84000</v>
      </c>
      <c r="AL39" s="17">
        <f>SUM(AL20,AL22)*'01_가정'!$F$88</f>
        <v>84000</v>
      </c>
      <c r="AM39" s="17">
        <f>SUM(AM20,AM22)*'01_가정'!$F$88</f>
        <v>84000</v>
      </c>
      <c r="AN39" s="17">
        <f>SUM(AN20,AN22)*'01_가정'!$F$88</f>
        <v>84000</v>
      </c>
      <c r="AO39" s="17">
        <f>SUM(AO20,AO22)*'01_가정'!$F$88</f>
        <v>84000</v>
      </c>
      <c r="AP39" s="17">
        <f>SUM(AP20,AP22)*'01_가정'!$F$88</f>
        <v>84000</v>
      </c>
      <c r="AQ39" s="17">
        <f>SUM(AQ20,AQ22)*'01_가정'!$F$88</f>
        <v>84000</v>
      </c>
      <c r="AR39" s="17">
        <f>SUM(AR20,AR22)*'01_가정'!$F$88</f>
        <v>84000</v>
      </c>
      <c r="AS39" s="17">
        <f>SUM(AS20,AS22)*'01_가정'!$F$88</f>
        <v>84000</v>
      </c>
    </row>
    <row r="40" spans="1:45" ht="22.95" customHeight="1">
      <c r="A40" s="1"/>
      <c r="B40" s="1"/>
      <c r="C40" s="1" t="s">
        <v>242</v>
      </c>
      <c r="D40" s="1" t="s">
        <v>11</v>
      </c>
      <c r="E40" s="1"/>
      <c r="F40" s="19">
        <f t="shared" si="13"/>
        <v>112000</v>
      </c>
      <c r="G40" s="19">
        <f t="shared" si="14"/>
        <v>1608000</v>
      </c>
      <c r="H40" s="19">
        <f t="shared" si="15"/>
        <v>3360000</v>
      </c>
      <c r="I40" s="1"/>
      <c r="J40" s="17">
        <f>J19*'01_가정'!$F$89</f>
        <v>0</v>
      </c>
      <c r="K40" s="17">
        <f>K19*'01_가정'!$F$89</f>
        <v>0</v>
      </c>
      <c r="L40" s="17">
        <f>L19*'01_가정'!$F$89</f>
        <v>0</v>
      </c>
      <c r="M40" s="17">
        <f>M19*'01_가정'!$F$89</f>
        <v>0</v>
      </c>
      <c r="N40" s="17">
        <f>N19*'01_가정'!$F$89</f>
        <v>0</v>
      </c>
      <c r="O40" s="17">
        <f>O19*'01_가정'!$F$89</f>
        <v>0</v>
      </c>
      <c r="P40" s="17">
        <f>P19*'01_가정'!$F$89</f>
        <v>0</v>
      </c>
      <c r="Q40" s="17">
        <f>Q19*'01_가정'!$F$89</f>
        <v>0</v>
      </c>
      <c r="R40" s="17">
        <f>R19*'01_가정'!$F$89</f>
        <v>0</v>
      </c>
      <c r="S40" s="17">
        <f>S19*'01_가정'!$F$89</f>
        <v>24000</v>
      </c>
      <c r="T40" s="17">
        <f>T19*'01_가정'!$F$89</f>
        <v>38000</v>
      </c>
      <c r="U40" s="17">
        <f>U19*'01_가정'!$F$89</f>
        <v>50000</v>
      </c>
      <c r="V40" s="17">
        <f>V19*'01_가정'!$F$89</f>
        <v>134000</v>
      </c>
      <c r="W40" s="17">
        <f>W19*'01_가정'!$F$89</f>
        <v>134000</v>
      </c>
      <c r="X40" s="17">
        <f>X19*'01_가정'!$F$89</f>
        <v>134000</v>
      </c>
      <c r="Y40" s="17">
        <f>Y19*'01_가정'!$F$89</f>
        <v>134000</v>
      </c>
      <c r="Z40" s="17">
        <f>Z19*'01_가정'!$F$89</f>
        <v>134000</v>
      </c>
      <c r="AA40" s="17">
        <f>AA19*'01_가정'!$F$89</f>
        <v>134000</v>
      </c>
      <c r="AB40" s="17">
        <f>AB19*'01_가정'!$F$89</f>
        <v>134000</v>
      </c>
      <c r="AC40" s="17">
        <f>AC19*'01_가정'!$F$89</f>
        <v>134000</v>
      </c>
      <c r="AD40" s="17">
        <f>AD19*'01_가정'!$F$89</f>
        <v>134000</v>
      </c>
      <c r="AE40" s="17">
        <f>AE19*'01_가정'!$F$89</f>
        <v>134000</v>
      </c>
      <c r="AF40" s="17">
        <f>AF19*'01_가정'!$F$89</f>
        <v>134000</v>
      </c>
      <c r="AG40" s="17">
        <f>AG19*'01_가정'!$F$89</f>
        <v>134000</v>
      </c>
      <c r="AH40" s="17">
        <f>AH19*'01_가정'!$F$89</f>
        <v>280000</v>
      </c>
      <c r="AI40" s="17">
        <f>AI19*'01_가정'!$F$89</f>
        <v>280000</v>
      </c>
      <c r="AJ40" s="17">
        <f>AJ19*'01_가정'!$F$89</f>
        <v>280000</v>
      </c>
      <c r="AK40" s="17">
        <f>AK19*'01_가정'!$F$89</f>
        <v>280000</v>
      </c>
      <c r="AL40" s="17">
        <f>AL19*'01_가정'!$F$89</f>
        <v>280000</v>
      </c>
      <c r="AM40" s="17">
        <f>AM19*'01_가정'!$F$89</f>
        <v>280000</v>
      </c>
      <c r="AN40" s="17">
        <f>AN19*'01_가정'!$F$89</f>
        <v>280000</v>
      </c>
      <c r="AO40" s="17">
        <f>AO19*'01_가정'!$F$89</f>
        <v>280000</v>
      </c>
      <c r="AP40" s="17">
        <f>AP19*'01_가정'!$F$89</f>
        <v>280000</v>
      </c>
      <c r="AQ40" s="17">
        <f>AQ19*'01_가정'!$F$89</f>
        <v>280000</v>
      </c>
      <c r="AR40" s="17">
        <f>AR19*'01_가정'!$F$89</f>
        <v>280000</v>
      </c>
      <c r="AS40" s="17">
        <f>AS19*'01_가정'!$F$89</f>
        <v>280000</v>
      </c>
    </row>
    <row r="41" spans="1:45" ht="22.95" customHeight="1">
      <c r="A41" s="1"/>
      <c r="B41" s="1"/>
      <c r="C41" s="1" t="s">
        <v>243</v>
      </c>
      <c r="D41" s="1" t="s">
        <v>11</v>
      </c>
      <c r="E41" s="1"/>
      <c r="F41" s="19">
        <f t="shared" si="13"/>
        <v>56000</v>
      </c>
      <c r="G41" s="19">
        <f t="shared" si="14"/>
        <v>804000</v>
      </c>
      <c r="H41" s="19">
        <f t="shared" si="15"/>
        <v>1680000</v>
      </c>
      <c r="I41" s="1"/>
      <c r="J41" s="17">
        <f>J19*'01_가정'!$F$90</f>
        <v>0</v>
      </c>
      <c r="K41" s="17">
        <f>K19*'01_가정'!$F$90</f>
        <v>0</v>
      </c>
      <c r="L41" s="17">
        <f>L19*'01_가정'!$F$90</f>
        <v>0</v>
      </c>
      <c r="M41" s="17">
        <f>M19*'01_가정'!$F$90</f>
        <v>0</v>
      </c>
      <c r="N41" s="17">
        <f>N19*'01_가정'!$F$90</f>
        <v>0</v>
      </c>
      <c r="O41" s="17">
        <f>O19*'01_가정'!$F$90</f>
        <v>0</v>
      </c>
      <c r="P41" s="17">
        <f>P19*'01_가정'!$F$90</f>
        <v>0</v>
      </c>
      <c r="Q41" s="17">
        <f>Q19*'01_가정'!$F$90</f>
        <v>0</v>
      </c>
      <c r="R41" s="17">
        <f>R19*'01_가정'!$F$90</f>
        <v>0</v>
      </c>
      <c r="S41" s="17">
        <f>S19*'01_가정'!$F$90</f>
        <v>12000</v>
      </c>
      <c r="T41" s="17">
        <f>T19*'01_가정'!$F$90</f>
        <v>19000</v>
      </c>
      <c r="U41" s="17">
        <f>U19*'01_가정'!$F$90</f>
        <v>25000</v>
      </c>
      <c r="V41" s="17">
        <f>V19*'01_가정'!$F$90</f>
        <v>67000</v>
      </c>
      <c r="W41" s="17">
        <f>W19*'01_가정'!$F$90</f>
        <v>67000</v>
      </c>
      <c r="X41" s="17">
        <f>X19*'01_가정'!$F$90</f>
        <v>67000</v>
      </c>
      <c r="Y41" s="17">
        <f>Y19*'01_가정'!$F$90</f>
        <v>67000</v>
      </c>
      <c r="Z41" s="17">
        <f>Z19*'01_가정'!$F$90</f>
        <v>67000</v>
      </c>
      <c r="AA41" s="17">
        <f>AA19*'01_가정'!$F$90</f>
        <v>67000</v>
      </c>
      <c r="AB41" s="17">
        <f>AB19*'01_가정'!$F$90</f>
        <v>67000</v>
      </c>
      <c r="AC41" s="17">
        <f>AC19*'01_가정'!$F$90</f>
        <v>67000</v>
      </c>
      <c r="AD41" s="17">
        <f>AD19*'01_가정'!$F$90</f>
        <v>67000</v>
      </c>
      <c r="AE41" s="17">
        <f>AE19*'01_가정'!$F$90</f>
        <v>67000</v>
      </c>
      <c r="AF41" s="17">
        <f>AF19*'01_가정'!$F$90</f>
        <v>67000</v>
      </c>
      <c r="AG41" s="17">
        <f>AG19*'01_가정'!$F$90</f>
        <v>67000</v>
      </c>
      <c r="AH41" s="17">
        <f>AH19*'01_가정'!$F$90</f>
        <v>140000</v>
      </c>
      <c r="AI41" s="17">
        <f>AI19*'01_가정'!$F$90</f>
        <v>140000</v>
      </c>
      <c r="AJ41" s="17">
        <f>AJ19*'01_가정'!$F$90</f>
        <v>140000</v>
      </c>
      <c r="AK41" s="17">
        <f>AK19*'01_가정'!$F$90</f>
        <v>140000</v>
      </c>
      <c r="AL41" s="17">
        <f>AL19*'01_가정'!$F$90</f>
        <v>140000</v>
      </c>
      <c r="AM41" s="17">
        <f>AM19*'01_가정'!$F$90</f>
        <v>140000</v>
      </c>
      <c r="AN41" s="17">
        <f>AN19*'01_가정'!$F$90</f>
        <v>140000</v>
      </c>
      <c r="AO41" s="17">
        <f>AO19*'01_가정'!$F$90</f>
        <v>140000</v>
      </c>
      <c r="AP41" s="17">
        <f>AP19*'01_가정'!$F$90</f>
        <v>140000</v>
      </c>
      <c r="AQ41" s="17">
        <f>AQ19*'01_가정'!$F$90</f>
        <v>140000</v>
      </c>
      <c r="AR41" s="17">
        <f>AR19*'01_가정'!$F$90</f>
        <v>140000</v>
      </c>
      <c r="AS41" s="17">
        <f>AS19*'01_가정'!$F$90</f>
        <v>140000</v>
      </c>
    </row>
    <row r="42" spans="1:45" ht="22.95" customHeight="1">
      <c r="A42" s="1"/>
      <c r="B42" s="1"/>
      <c r="C42" s="1" t="s">
        <v>189</v>
      </c>
      <c r="D42" s="1" t="s">
        <v>11</v>
      </c>
      <c r="E42" s="1"/>
      <c r="F42" s="19">
        <f t="shared" si="13"/>
        <v>0</v>
      </c>
      <c r="G42" s="19">
        <f t="shared" si="14"/>
        <v>0</v>
      </c>
      <c r="H42" s="19">
        <f t="shared" si="15"/>
        <v>0</v>
      </c>
      <c r="I42" s="1"/>
      <c r="J42" s="17">
        <f>J18*'01_가정'!$F$97</f>
        <v>0</v>
      </c>
      <c r="K42" s="17">
        <f>K18*'01_가정'!$F$97</f>
        <v>0</v>
      </c>
      <c r="L42" s="17">
        <f>L18*'01_가정'!$F$97</f>
        <v>0</v>
      </c>
      <c r="M42" s="17">
        <f>M18*'01_가정'!$F$97</f>
        <v>0</v>
      </c>
      <c r="N42" s="17">
        <f>N18*'01_가정'!$F$97</f>
        <v>0</v>
      </c>
      <c r="O42" s="17">
        <f>O18*'01_가정'!$F$97</f>
        <v>0</v>
      </c>
      <c r="P42" s="17">
        <f>P18*'01_가정'!$F$97</f>
        <v>0</v>
      </c>
      <c r="Q42" s="17">
        <f>Q18*'01_가정'!$F$97</f>
        <v>0</v>
      </c>
      <c r="R42" s="17">
        <f>R18*'01_가정'!$F$97</f>
        <v>0</v>
      </c>
      <c r="S42" s="17">
        <f>S18*'01_가정'!$F$97</f>
        <v>0</v>
      </c>
      <c r="T42" s="17">
        <f>T18*'01_가정'!$F$97</f>
        <v>0</v>
      </c>
      <c r="U42" s="17">
        <f>U18*'01_가정'!$F$97</f>
        <v>0</v>
      </c>
      <c r="V42" s="17">
        <f>V18*'01_가정'!$F$97</f>
        <v>0</v>
      </c>
      <c r="W42" s="17">
        <f>W18*'01_가정'!$F$97</f>
        <v>0</v>
      </c>
      <c r="X42" s="17">
        <f>X18*'01_가정'!$F$97</f>
        <v>0</v>
      </c>
      <c r="Y42" s="17">
        <f>Y18*'01_가정'!$F$97</f>
        <v>0</v>
      </c>
      <c r="Z42" s="17">
        <f>Z18*'01_가정'!$F$97</f>
        <v>0</v>
      </c>
      <c r="AA42" s="17">
        <f>AA18*'01_가정'!$F$97</f>
        <v>0</v>
      </c>
      <c r="AB42" s="17">
        <f>AB18*'01_가정'!$F$97</f>
        <v>0</v>
      </c>
      <c r="AC42" s="17">
        <f>AC18*'01_가정'!$F$97</f>
        <v>0</v>
      </c>
      <c r="AD42" s="17">
        <f>AD18*'01_가정'!$F$97</f>
        <v>0</v>
      </c>
      <c r="AE42" s="17">
        <f>AE18*'01_가정'!$F$97</f>
        <v>0</v>
      </c>
      <c r="AF42" s="17">
        <f>AF18*'01_가정'!$F$97</f>
        <v>0</v>
      </c>
      <c r="AG42" s="17">
        <f>AG18*'01_가정'!$F$97</f>
        <v>0</v>
      </c>
      <c r="AH42" s="17">
        <f>AH18*'01_가정'!$F$97</f>
        <v>0</v>
      </c>
      <c r="AI42" s="17">
        <f>AI18*'01_가정'!$F$97</f>
        <v>0</v>
      </c>
      <c r="AJ42" s="17">
        <f>AJ18*'01_가정'!$F$97</f>
        <v>0</v>
      </c>
      <c r="AK42" s="17">
        <f>AK18*'01_가정'!$F$97</f>
        <v>0</v>
      </c>
      <c r="AL42" s="17">
        <f>AL18*'01_가정'!$F$97</f>
        <v>0</v>
      </c>
      <c r="AM42" s="17">
        <f>AM18*'01_가정'!$F$97</f>
        <v>0</v>
      </c>
      <c r="AN42" s="17">
        <f>AN18*'01_가정'!$F$97</f>
        <v>0</v>
      </c>
      <c r="AO42" s="17">
        <f>AO18*'01_가정'!$F$97</f>
        <v>0</v>
      </c>
      <c r="AP42" s="17">
        <f>AP18*'01_가정'!$F$97</f>
        <v>0</v>
      </c>
      <c r="AQ42" s="17">
        <f>AQ18*'01_가정'!$F$97</f>
        <v>0</v>
      </c>
      <c r="AR42" s="17">
        <f>AR18*'01_가정'!$F$97</f>
        <v>0</v>
      </c>
      <c r="AS42" s="17">
        <f>AS18*'01_가정'!$F$97</f>
        <v>0</v>
      </c>
    </row>
    <row r="43" spans="1:45" ht="22.95" customHeight="1">
      <c r="A43" s="1"/>
      <c r="B43" s="1"/>
      <c r="C43" s="1" t="s">
        <v>197</v>
      </c>
      <c r="D43" s="1" t="s">
        <v>11</v>
      </c>
      <c r="E43" s="1"/>
      <c r="F43" s="19">
        <f t="shared" si="13"/>
        <v>989.60400000000004</v>
      </c>
      <c r="G43" s="19">
        <f t="shared" si="14"/>
        <v>76936.25198239871</v>
      </c>
      <c r="H43" s="19">
        <f t="shared" si="15"/>
        <v>244458.35199454825</v>
      </c>
      <c r="I43" s="1"/>
      <c r="J43" s="17">
        <f>J32*'01_가정'!$F$92</f>
        <v>0</v>
      </c>
      <c r="K43" s="17">
        <f>K32*'01_가정'!$F$92</f>
        <v>0</v>
      </c>
      <c r="L43" s="17">
        <f>L32*'01_가정'!$F$92</f>
        <v>0</v>
      </c>
      <c r="M43" s="17">
        <f>M32*'01_가정'!$F$92</f>
        <v>0</v>
      </c>
      <c r="N43" s="17">
        <f>N32*'01_가정'!$F$92</f>
        <v>0</v>
      </c>
      <c r="O43" s="17">
        <f>O32*'01_가정'!$F$92</f>
        <v>0</v>
      </c>
      <c r="P43" s="17">
        <f>P32*'01_가정'!$F$92</f>
        <v>0</v>
      </c>
      <c r="Q43" s="17">
        <f>Q32*'01_가정'!$F$92</f>
        <v>0</v>
      </c>
      <c r="R43" s="17">
        <f>R32*'01_가정'!$F$92</f>
        <v>0</v>
      </c>
      <c r="S43" s="17">
        <f>S32*'01_가정'!$F$92</f>
        <v>0</v>
      </c>
      <c r="T43" s="17">
        <f>T32*'01_가정'!$F$92</f>
        <v>296.88119999999998</v>
      </c>
      <c r="U43" s="17">
        <f>U32*'01_가정'!$F$92</f>
        <v>692.72280000000001</v>
      </c>
      <c r="V43" s="17">
        <f>V32*'01_가정'!$F$92</f>
        <v>1158.826284</v>
      </c>
      <c r="W43" s="17">
        <f>W32*'01_가정'!$F$92</f>
        <v>2963.1922135200002</v>
      </c>
      <c r="X43" s="17">
        <f>X32*'01_가정'!$F$92</f>
        <v>4370.5976385456006</v>
      </c>
      <c r="Y43" s="17">
        <f>Y32*'01_가정'!$F$92</f>
        <v>5468.3738700655686</v>
      </c>
      <c r="Z43" s="17">
        <f>Z32*'01_가정'!$F$92</f>
        <v>6324.6393306511445</v>
      </c>
      <c r="AA43" s="17">
        <f>AA32*'01_가정'!$F$92</f>
        <v>6992.5263899078927</v>
      </c>
      <c r="AB43" s="17">
        <f>AB32*'01_가정'!$F$92</f>
        <v>7513.4782961281571</v>
      </c>
      <c r="AC43" s="17">
        <f>AC32*'01_가정'!$F$92</f>
        <v>7919.8207829799612</v>
      </c>
      <c r="AD43" s="17">
        <f>AD32*'01_가정'!$F$92</f>
        <v>8236.7679227243698</v>
      </c>
      <c r="AE43" s="17">
        <f>AE32*'01_가정'!$F$92</f>
        <v>8483.9866917250074</v>
      </c>
      <c r="AF43" s="17">
        <f>AF32*'01_가정'!$F$92</f>
        <v>8676.817331545506</v>
      </c>
      <c r="AG43" s="17">
        <f>AG32*'01_가정'!$F$92</f>
        <v>8827.2252306054961</v>
      </c>
      <c r="AH43" s="17">
        <f>AH32*'01_가정'!$F$92</f>
        <v>9121.087896484396</v>
      </c>
      <c r="AI43" s="17">
        <f>AI32*'01_가정'!$F$92</f>
        <v>12797.904317187518</v>
      </c>
      <c r="AJ43" s="17">
        <f>AJ32*'01_가정'!$F$92</f>
        <v>15739.357453750015</v>
      </c>
      <c r="AK43" s="17">
        <f>AK32*'01_가정'!$F$92</f>
        <v>18092.519963000013</v>
      </c>
      <c r="AL43" s="17">
        <f>AL32*'01_가정'!$F$92</f>
        <v>19975.04997040001</v>
      </c>
      <c r="AM43" s="17">
        <f>AM32*'01_가정'!$F$92</f>
        <v>21481.073976320011</v>
      </c>
      <c r="AN43" s="17">
        <f>AN32*'01_가정'!$F$92</f>
        <v>22685.89318105601</v>
      </c>
      <c r="AO43" s="17">
        <f>AO32*'01_가정'!$F$92</f>
        <v>23649.748544844806</v>
      </c>
      <c r="AP43" s="17">
        <f>AP32*'01_가정'!$F$92</f>
        <v>24420.832835875844</v>
      </c>
      <c r="AQ43" s="17">
        <f>AQ32*'01_가정'!$F$92</f>
        <v>25037.700268700675</v>
      </c>
      <c r="AR43" s="17">
        <f>AR32*'01_가정'!$F$92</f>
        <v>25531.194214960535</v>
      </c>
      <c r="AS43" s="17">
        <f>AS32*'01_가정'!$F$92</f>
        <v>25925.989371968426</v>
      </c>
    </row>
    <row r="44" spans="1:45" ht="22.95" customHeight="1">
      <c r="A44" s="1"/>
      <c r="B44" s="1"/>
      <c r="C44" s="1" t="s">
        <v>244</v>
      </c>
      <c r="D44" s="1" t="s">
        <v>11</v>
      </c>
      <c r="E44" s="1"/>
      <c r="F44" s="19">
        <f t="shared" si="13"/>
        <v>10200</v>
      </c>
      <c r="G44" s="19">
        <f t="shared" si="14"/>
        <v>792993.73306945688</v>
      </c>
      <c r="H44" s="19">
        <f t="shared" si="15"/>
        <v>2519669.6762991985</v>
      </c>
      <c r="I44" s="1"/>
      <c r="J44" s="17">
        <f>J29*'01_가정'!$F$91</f>
        <v>0</v>
      </c>
      <c r="K44" s="17">
        <f>K29*'01_가정'!$F$91</f>
        <v>0</v>
      </c>
      <c r="L44" s="17">
        <f>L29*'01_가정'!$F$91</f>
        <v>0</v>
      </c>
      <c r="M44" s="17">
        <f>M29*'01_가정'!$F$91</f>
        <v>0</v>
      </c>
      <c r="N44" s="17">
        <f>N29*'01_가정'!$F$91</f>
        <v>0</v>
      </c>
      <c r="O44" s="17">
        <f>O29*'01_가정'!$F$91</f>
        <v>0</v>
      </c>
      <c r="P44" s="17">
        <f>P29*'01_가정'!$F$91</f>
        <v>0</v>
      </c>
      <c r="Q44" s="17">
        <f>Q29*'01_가정'!$F$91</f>
        <v>0</v>
      </c>
      <c r="R44" s="17">
        <f>R29*'01_가정'!$F$91</f>
        <v>0</v>
      </c>
      <c r="S44" s="17">
        <f>S29*'01_가정'!$F$91</f>
        <v>0</v>
      </c>
      <c r="T44" s="17">
        <f>T29*'01_가정'!$F$91</f>
        <v>3060</v>
      </c>
      <c r="U44" s="17">
        <f>U29*'01_가정'!$F$91</f>
        <v>7140</v>
      </c>
      <c r="V44" s="17">
        <f>V29*'01_가정'!$F$91</f>
        <v>11944.199999999999</v>
      </c>
      <c r="W44" s="17">
        <f>W29*'01_가정'!$F$91</f>
        <v>30542.076000000001</v>
      </c>
      <c r="X44" s="17">
        <f>X29*'01_가정'!$F$91</f>
        <v>45048.419280000002</v>
      </c>
      <c r="Y44" s="17">
        <f>Y29*'01_가정'!$F$91</f>
        <v>56363.367038400007</v>
      </c>
      <c r="Z44" s="17">
        <f>Z29*'01_가정'!$F$91</f>
        <v>65189.026289952009</v>
      </c>
      <c r="AA44" s="17">
        <f>AA29*'01_가정'!$F$91</f>
        <v>72073.040506162564</v>
      </c>
      <c r="AB44" s="17">
        <f>AB29*'01_가정'!$F$91</f>
        <v>77442.57159480681</v>
      </c>
      <c r="AC44" s="17">
        <f>AC29*'01_가정'!$F$91</f>
        <v>81630.805843949303</v>
      </c>
      <c r="AD44" s="17">
        <f>AD29*'01_가정'!$F$91</f>
        <v>84897.628558280456</v>
      </c>
      <c r="AE44" s="17">
        <f>AE29*'01_가정'!$F$91</f>
        <v>87445.750275458748</v>
      </c>
      <c r="AF44" s="17">
        <f>AF29*'01_가정'!$F$91</f>
        <v>89433.285214857824</v>
      </c>
      <c r="AG44" s="17">
        <f>AG29*'01_가정'!$F$91</f>
        <v>90983.562467589101</v>
      </c>
      <c r="AH44" s="17">
        <f>AH29*'01_가정'!$F$91</f>
        <v>94012.449974071278</v>
      </c>
      <c r="AI44" s="17">
        <f>AI29*'01_가정'!$F$91</f>
        <v>131909.95997925702</v>
      </c>
      <c r="AJ44" s="17">
        <f>AJ29*'01_가정'!$F$91</f>
        <v>162227.96798340563</v>
      </c>
      <c r="AK44" s="17">
        <f>AK29*'01_가정'!$F$91</f>
        <v>186482.37438672452</v>
      </c>
      <c r="AL44" s="17">
        <f>AL29*'01_가정'!$F$91</f>
        <v>205885.89950937961</v>
      </c>
      <c r="AM44" s="17">
        <f>AM29*'01_가정'!$F$91</f>
        <v>221408.71960750371</v>
      </c>
      <c r="AN44" s="17">
        <f>AN29*'01_가정'!$F$91</f>
        <v>233826.97568600296</v>
      </c>
      <c r="AO44" s="17">
        <f>AO29*'01_가정'!$F$91</f>
        <v>243761.58054880236</v>
      </c>
      <c r="AP44" s="17">
        <f>AP29*'01_가정'!$F$91</f>
        <v>251709.2644390419</v>
      </c>
      <c r="AQ44" s="17">
        <f>AQ29*'01_가정'!$F$91</f>
        <v>258067.4115512335</v>
      </c>
      <c r="AR44" s="17">
        <f>AR29*'01_가정'!$F$91</f>
        <v>263153.92924098676</v>
      </c>
      <c r="AS44" s="17">
        <f>AS29*'01_가정'!$F$91</f>
        <v>267223.14339278941</v>
      </c>
    </row>
    <row r="45" spans="1:45" ht="22.95" customHeight="1">
      <c r="A45" s="1"/>
      <c r="B45" s="1"/>
      <c r="C45" s="1" t="s">
        <v>245</v>
      </c>
      <c r="D45" s="1" t="s">
        <v>11</v>
      </c>
      <c r="E45" s="1"/>
      <c r="F45" s="19">
        <f t="shared" si="13"/>
        <v>408</v>
      </c>
      <c r="G45" s="19">
        <f t="shared" si="14"/>
        <v>31719.74932277828</v>
      </c>
      <c r="H45" s="19">
        <f t="shared" si="15"/>
        <v>100786.78705196794</v>
      </c>
      <c r="I45" s="1"/>
      <c r="J45" s="17">
        <f>J29*'01_가정'!$F$93*'01_가정'!$F$88</f>
        <v>0</v>
      </c>
      <c r="K45" s="17">
        <f>K29*'01_가정'!$F$93*'01_가정'!$F$88</f>
        <v>0</v>
      </c>
      <c r="L45" s="17">
        <f>L29*'01_가정'!$F$93*'01_가정'!$F$88</f>
        <v>0</v>
      </c>
      <c r="M45" s="17">
        <f>M29*'01_가정'!$F$93*'01_가정'!$F$88</f>
        <v>0</v>
      </c>
      <c r="N45" s="17">
        <f>N29*'01_가정'!$F$93*'01_가정'!$F$88</f>
        <v>0</v>
      </c>
      <c r="O45" s="17">
        <f>O29*'01_가정'!$F$93*'01_가정'!$F$88</f>
        <v>0</v>
      </c>
      <c r="P45" s="17">
        <f>P29*'01_가정'!$F$93*'01_가정'!$F$88</f>
        <v>0</v>
      </c>
      <c r="Q45" s="17">
        <f>Q29*'01_가정'!$F$93*'01_가정'!$F$88</f>
        <v>0</v>
      </c>
      <c r="R45" s="17">
        <f>R29*'01_가정'!$F$93*'01_가정'!$F$88</f>
        <v>0</v>
      </c>
      <c r="S45" s="17">
        <f>S29*'01_가정'!$F$93*'01_가정'!$F$88</f>
        <v>0</v>
      </c>
      <c r="T45" s="17">
        <f>T29*'01_가정'!$F$93*'01_가정'!$F$88</f>
        <v>122.4</v>
      </c>
      <c r="U45" s="17">
        <f>U29*'01_가정'!$F$93*'01_가정'!$F$88</f>
        <v>285.59999999999997</v>
      </c>
      <c r="V45" s="17">
        <f>V29*'01_가정'!$F$93*'01_가정'!$F$88</f>
        <v>477.76800000000003</v>
      </c>
      <c r="W45" s="17">
        <f>W29*'01_가정'!$F$93*'01_가정'!$F$88</f>
        <v>1221.6830400000001</v>
      </c>
      <c r="X45" s="17">
        <f>X29*'01_가정'!$F$93*'01_가정'!$F$88</f>
        <v>1801.9367712000003</v>
      </c>
      <c r="Y45" s="17">
        <f>Y29*'01_가정'!$F$93*'01_가정'!$F$88</f>
        <v>2254.5346815360003</v>
      </c>
      <c r="Z45" s="17">
        <f>Z29*'01_가정'!$F$93*'01_가정'!$F$88</f>
        <v>2607.5610515980802</v>
      </c>
      <c r="AA45" s="17">
        <f>AA29*'01_가정'!$F$93*'01_가정'!$F$88</f>
        <v>2882.9216202465027</v>
      </c>
      <c r="AB45" s="17">
        <f>AB29*'01_가정'!$F$93*'01_가정'!$F$88</f>
        <v>3097.7028637922717</v>
      </c>
      <c r="AC45" s="17">
        <f>AC29*'01_가정'!$F$93*'01_가정'!$F$88</f>
        <v>3265.2322337579722</v>
      </c>
      <c r="AD45" s="17">
        <f>AD29*'01_가정'!$F$93*'01_가정'!$F$88</f>
        <v>3395.905142331218</v>
      </c>
      <c r="AE45" s="17">
        <f>AE29*'01_가정'!$F$93*'01_가정'!$F$88</f>
        <v>3497.8300110183504</v>
      </c>
      <c r="AF45" s="17">
        <f>AF29*'01_가정'!$F$93*'01_가정'!$F$88</f>
        <v>3577.331408594313</v>
      </c>
      <c r="AG45" s="17">
        <f>AG29*'01_가정'!$F$93*'01_가정'!$F$88</f>
        <v>3639.3424987035637</v>
      </c>
      <c r="AH45" s="17">
        <f>AH29*'01_가정'!$F$93*'01_가정'!$F$88</f>
        <v>3760.4979989628514</v>
      </c>
      <c r="AI45" s="17">
        <f>AI29*'01_가정'!$F$93*'01_가정'!$F$88</f>
        <v>5276.3983991702817</v>
      </c>
      <c r="AJ45" s="17">
        <f>AJ29*'01_가정'!$F$93*'01_가정'!$F$88</f>
        <v>6489.1187193362248</v>
      </c>
      <c r="AK45" s="17">
        <f>AK29*'01_가정'!$F$93*'01_가정'!$F$88</f>
        <v>7459.2949754689807</v>
      </c>
      <c r="AL45" s="17">
        <f>AL29*'01_가정'!$F$93*'01_가정'!$F$88</f>
        <v>8235.435980375185</v>
      </c>
      <c r="AM45" s="17">
        <f>AM29*'01_가정'!$F$93*'01_가정'!$F$88</f>
        <v>8856.3487843001476</v>
      </c>
      <c r="AN45" s="17">
        <f>AN29*'01_가정'!$F$93*'01_가정'!$F$88</f>
        <v>9353.0790274401188</v>
      </c>
      <c r="AO45" s="17">
        <f>AO29*'01_가정'!$F$93*'01_가정'!$F$88</f>
        <v>9750.4632219520954</v>
      </c>
      <c r="AP45" s="17">
        <f>AP29*'01_가정'!$F$93*'01_가정'!$F$88</f>
        <v>10068.370577561676</v>
      </c>
      <c r="AQ45" s="17">
        <f>AQ29*'01_가정'!$F$93*'01_가정'!$F$88</f>
        <v>10322.69646204934</v>
      </c>
      <c r="AR45" s="17">
        <f>AR29*'01_가정'!$F$93*'01_가정'!$F$88</f>
        <v>10526.157169639471</v>
      </c>
      <c r="AS45" s="17">
        <f>AS29*'01_가정'!$F$93*'01_가정'!$F$88</f>
        <v>10688.925735711575</v>
      </c>
    </row>
    <row r="46" spans="1:45" ht="22.95" customHeight="1">
      <c r="A46" s="1"/>
      <c r="B46" s="1"/>
      <c r="C46" s="8" t="s">
        <v>246</v>
      </c>
      <c r="D46" s="8" t="s">
        <v>11</v>
      </c>
      <c r="E46" s="8"/>
      <c r="F46" s="9">
        <f t="shared" si="13"/>
        <v>1010660.2141818175</v>
      </c>
      <c r="G46" s="9">
        <f t="shared" si="14"/>
        <v>20548070.452902198</v>
      </c>
      <c r="H46" s="9">
        <f t="shared" si="15"/>
        <v>56444349.275945283</v>
      </c>
      <c r="I46" s="8"/>
      <c r="J46" s="9">
        <f t="shared" ref="J46:AS46" si="18">J36-SUM(J37:J45)</f>
        <v>0</v>
      </c>
      <c r="K46" s="9">
        <f t="shared" si="18"/>
        <v>0</v>
      </c>
      <c r="L46" s="9">
        <f t="shared" si="18"/>
        <v>0</v>
      </c>
      <c r="M46" s="9">
        <f t="shared" si="18"/>
        <v>0</v>
      </c>
      <c r="N46" s="9">
        <f t="shared" si="18"/>
        <v>0</v>
      </c>
      <c r="O46" s="9">
        <f t="shared" si="18"/>
        <v>0</v>
      </c>
      <c r="P46" s="9">
        <f t="shared" si="18"/>
        <v>0</v>
      </c>
      <c r="Q46" s="9">
        <f t="shared" si="18"/>
        <v>0</v>
      </c>
      <c r="R46" s="9">
        <f t="shared" si="18"/>
        <v>0</v>
      </c>
      <c r="S46" s="9">
        <f t="shared" si="18"/>
        <v>215907.81818181812</v>
      </c>
      <c r="T46" s="9">
        <f t="shared" si="18"/>
        <v>342781.16425454512</v>
      </c>
      <c r="U46" s="9">
        <f t="shared" si="18"/>
        <v>451971.23174545425</v>
      </c>
      <c r="V46" s="9">
        <f t="shared" si="18"/>
        <v>1634642.5807748237</v>
      </c>
      <c r="W46" s="9">
        <f t="shared" si="18"/>
        <v>1641517.2236453029</v>
      </c>
      <c r="X46" s="9">
        <f t="shared" si="18"/>
        <v>1646879.4450842768</v>
      </c>
      <c r="Y46" s="9">
        <f t="shared" si="18"/>
        <v>1651061.9778066783</v>
      </c>
      <c r="Z46" s="9">
        <f t="shared" si="18"/>
        <v>1654324.3533301507</v>
      </c>
      <c r="AA46" s="9">
        <f t="shared" si="18"/>
        <v>1656869.0062384587</v>
      </c>
      <c r="AB46" s="9">
        <f t="shared" si="18"/>
        <v>1760838.4642000445</v>
      </c>
      <c r="AC46" s="9">
        <f t="shared" si="18"/>
        <v>1762386.6310294592</v>
      </c>
      <c r="AD46" s="9">
        <f t="shared" si="18"/>
        <v>1763594.2011564022</v>
      </c>
      <c r="AE46" s="9">
        <f t="shared" si="18"/>
        <v>1791304.7144957534</v>
      </c>
      <c r="AF46" s="9">
        <f t="shared" si="18"/>
        <v>1792039.4001609846</v>
      </c>
      <c r="AG46" s="9">
        <f t="shared" si="18"/>
        <v>1792612.4549798663</v>
      </c>
      <c r="AH46" s="9">
        <f t="shared" si="18"/>
        <v>4403150.0970097892</v>
      </c>
      <c r="AI46" s="9">
        <f t="shared" si="18"/>
        <v>4420948.5362586929</v>
      </c>
      <c r="AJ46" s="9">
        <f t="shared" si="18"/>
        <v>4435187.2876578122</v>
      </c>
      <c r="AK46" s="9">
        <f t="shared" si="18"/>
        <v>4674893.3886478785</v>
      </c>
      <c r="AL46" s="9">
        <f t="shared" si="18"/>
        <v>4684006.1895433199</v>
      </c>
      <c r="AM46" s="9">
        <f t="shared" si="18"/>
        <v>4691296.4302596683</v>
      </c>
      <c r="AN46" s="9">
        <f t="shared" si="18"/>
        <v>4840640.9713229463</v>
      </c>
      <c r="AO46" s="9">
        <f t="shared" si="18"/>
        <v>4845306.7253814107</v>
      </c>
      <c r="AP46" s="9">
        <f t="shared" si="18"/>
        <v>4849039.3286281815</v>
      </c>
      <c r="AQ46" s="9">
        <f t="shared" si="18"/>
        <v>4864397.1654057903</v>
      </c>
      <c r="AR46" s="9">
        <f t="shared" si="18"/>
        <v>4866786.0314837256</v>
      </c>
      <c r="AS46" s="9">
        <f t="shared" si="18"/>
        <v>4868697.1243460709</v>
      </c>
    </row>
    <row r="47" spans="1:45" ht="22.95" customHeight="1">
      <c r="A47" s="1"/>
      <c r="B47" s="1"/>
      <c r="C47" s="1" t="s">
        <v>247</v>
      </c>
      <c r="D47" s="1" t="s">
        <v>11</v>
      </c>
      <c r="E47" s="1"/>
      <c r="F47" s="19">
        <f t="shared" si="13"/>
        <v>3375000</v>
      </c>
      <c r="G47" s="19">
        <f t="shared" si="14"/>
        <v>36000000</v>
      </c>
      <c r="H47" s="19">
        <f t="shared" si="15"/>
        <v>60000000</v>
      </c>
      <c r="I47" s="1"/>
      <c r="J47" s="19">
        <f t="shared" ref="J47:AS47" si="19">J10</f>
        <v>0</v>
      </c>
      <c r="K47" s="19">
        <f t="shared" si="19"/>
        <v>0</v>
      </c>
      <c r="L47" s="19">
        <f t="shared" si="19"/>
        <v>0</v>
      </c>
      <c r="M47" s="19">
        <f t="shared" si="19"/>
        <v>0</v>
      </c>
      <c r="N47" s="19">
        <f t="shared" si="19"/>
        <v>0</v>
      </c>
      <c r="O47" s="19">
        <f t="shared" si="19"/>
        <v>0</v>
      </c>
      <c r="P47" s="19">
        <f t="shared" si="19"/>
        <v>0</v>
      </c>
      <c r="Q47" s="19">
        <f t="shared" si="19"/>
        <v>0</v>
      </c>
      <c r="R47" s="19">
        <f t="shared" si="19"/>
        <v>0</v>
      </c>
      <c r="S47" s="19">
        <f t="shared" si="19"/>
        <v>750000</v>
      </c>
      <c r="T47" s="19">
        <f t="shared" si="19"/>
        <v>1125000</v>
      </c>
      <c r="U47" s="19">
        <f t="shared" si="19"/>
        <v>1500000</v>
      </c>
      <c r="V47" s="19">
        <f t="shared" si="19"/>
        <v>3000000</v>
      </c>
      <c r="W47" s="19">
        <f t="shared" si="19"/>
        <v>3000000</v>
      </c>
      <c r="X47" s="19">
        <f t="shared" si="19"/>
        <v>3000000</v>
      </c>
      <c r="Y47" s="19">
        <f t="shared" si="19"/>
        <v>3000000</v>
      </c>
      <c r="Z47" s="19">
        <f t="shared" si="19"/>
        <v>3000000</v>
      </c>
      <c r="AA47" s="19">
        <f t="shared" si="19"/>
        <v>3000000</v>
      </c>
      <c r="AB47" s="19">
        <f t="shared" si="19"/>
        <v>3000000</v>
      </c>
      <c r="AC47" s="19">
        <f t="shared" si="19"/>
        <v>3000000</v>
      </c>
      <c r="AD47" s="19">
        <f t="shared" si="19"/>
        <v>3000000</v>
      </c>
      <c r="AE47" s="19">
        <f t="shared" si="19"/>
        <v>3000000</v>
      </c>
      <c r="AF47" s="19">
        <f t="shared" si="19"/>
        <v>3000000</v>
      </c>
      <c r="AG47" s="19">
        <f t="shared" si="19"/>
        <v>3000000</v>
      </c>
      <c r="AH47" s="19">
        <f t="shared" si="19"/>
        <v>5000000</v>
      </c>
      <c r="AI47" s="19">
        <f t="shared" si="19"/>
        <v>5000000</v>
      </c>
      <c r="AJ47" s="19">
        <f t="shared" si="19"/>
        <v>5000000</v>
      </c>
      <c r="AK47" s="19">
        <f t="shared" si="19"/>
        <v>5000000</v>
      </c>
      <c r="AL47" s="19">
        <f t="shared" si="19"/>
        <v>5000000</v>
      </c>
      <c r="AM47" s="19">
        <f t="shared" si="19"/>
        <v>5000000</v>
      </c>
      <c r="AN47" s="19">
        <f t="shared" si="19"/>
        <v>5000000</v>
      </c>
      <c r="AO47" s="19">
        <f t="shared" si="19"/>
        <v>5000000</v>
      </c>
      <c r="AP47" s="19">
        <f t="shared" si="19"/>
        <v>5000000</v>
      </c>
      <c r="AQ47" s="19">
        <f t="shared" si="19"/>
        <v>5000000</v>
      </c>
      <c r="AR47" s="19">
        <f t="shared" si="19"/>
        <v>5000000</v>
      </c>
      <c r="AS47" s="19">
        <f t="shared" si="19"/>
        <v>5000000</v>
      </c>
    </row>
    <row r="48" spans="1:45" ht="22.95" customHeight="1">
      <c r="A48" s="1"/>
      <c r="B48" s="1"/>
      <c r="C48" s="8" t="s">
        <v>13</v>
      </c>
      <c r="D48" s="8" t="s">
        <v>11</v>
      </c>
      <c r="E48" s="8"/>
      <c r="F48" s="9">
        <f t="shared" si="13"/>
        <v>-2364339.7858181829</v>
      </c>
      <c r="G48" s="9">
        <f t="shared" si="14"/>
        <v>-15451929.547097798</v>
      </c>
      <c r="H48" s="9">
        <f t="shared" si="15"/>
        <v>-3555650.7240547137</v>
      </c>
      <c r="I48" s="8"/>
      <c r="J48" s="9">
        <f t="shared" ref="J48:AS48" si="20">J46-J47</f>
        <v>0</v>
      </c>
      <c r="K48" s="9">
        <f t="shared" si="20"/>
        <v>0</v>
      </c>
      <c r="L48" s="9">
        <f t="shared" si="20"/>
        <v>0</v>
      </c>
      <c r="M48" s="9">
        <f t="shared" si="20"/>
        <v>0</v>
      </c>
      <c r="N48" s="9">
        <f t="shared" si="20"/>
        <v>0</v>
      </c>
      <c r="O48" s="9">
        <f t="shared" si="20"/>
        <v>0</v>
      </c>
      <c r="P48" s="9">
        <f t="shared" si="20"/>
        <v>0</v>
      </c>
      <c r="Q48" s="9">
        <f t="shared" si="20"/>
        <v>0</v>
      </c>
      <c r="R48" s="9">
        <f t="shared" si="20"/>
        <v>0</v>
      </c>
      <c r="S48" s="9">
        <f t="shared" si="20"/>
        <v>-534092.18181818188</v>
      </c>
      <c r="T48" s="9">
        <f t="shared" si="20"/>
        <v>-782218.83574545488</v>
      </c>
      <c r="U48" s="9">
        <f t="shared" si="20"/>
        <v>-1048028.7682545458</v>
      </c>
      <c r="V48" s="9">
        <f t="shared" si="20"/>
        <v>-1365357.4192251763</v>
      </c>
      <c r="W48" s="9">
        <f t="shared" si="20"/>
        <v>-1358482.7763546971</v>
      </c>
      <c r="X48" s="9">
        <f t="shared" si="20"/>
        <v>-1353120.5549157232</v>
      </c>
      <c r="Y48" s="9">
        <f t="shared" si="20"/>
        <v>-1348938.0221933217</v>
      </c>
      <c r="Z48" s="9">
        <f t="shared" si="20"/>
        <v>-1345675.6466698493</v>
      </c>
      <c r="AA48" s="9">
        <f t="shared" si="20"/>
        <v>-1343130.9937615413</v>
      </c>
      <c r="AB48" s="9">
        <f t="shared" si="20"/>
        <v>-1239161.5357999555</v>
      </c>
      <c r="AC48" s="9">
        <f t="shared" si="20"/>
        <v>-1237613.3689705408</v>
      </c>
      <c r="AD48" s="9">
        <f t="shared" si="20"/>
        <v>-1236405.7988435978</v>
      </c>
      <c r="AE48" s="9">
        <f t="shared" si="20"/>
        <v>-1208695.2855042466</v>
      </c>
      <c r="AF48" s="9">
        <f t="shared" si="20"/>
        <v>-1207960.5998390154</v>
      </c>
      <c r="AG48" s="9">
        <f t="shared" si="20"/>
        <v>-1207387.5450201337</v>
      </c>
      <c r="AH48" s="9">
        <f t="shared" si="20"/>
        <v>-596849.9029902108</v>
      </c>
      <c r="AI48" s="9">
        <f t="shared" si="20"/>
        <v>-579051.46374130715</v>
      </c>
      <c r="AJ48" s="9">
        <f t="shared" si="20"/>
        <v>-564812.71234218776</v>
      </c>
      <c r="AK48" s="9">
        <f t="shared" si="20"/>
        <v>-325106.61135212146</v>
      </c>
      <c r="AL48" s="9">
        <f t="shared" si="20"/>
        <v>-315993.81045668013</v>
      </c>
      <c r="AM48" s="9">
        <f t="shared" si="20"/>
        <v>-308703.56974033173</v>
      </c>
      <c r="AN48" s="9">
        <f t="shared" si="20"/>
        <v>-159359.02867705375</v>
      </c>
      <c r="AO48" s="9">
        <f t="shared" si="20"/>
        <v>-154693.27461858932</v>
      </c>
      <c r="AP48" s="9">
        <f t="shared" si="20"/>
        <v>-150960.67137181852</v>
      </c>
      <c r="AQ48" s="9">
        <f t="shared" si="20"/>
        <v>-135602.83459420968</v>
      </c>
      <c r="AR48" s="9">
        <f t="shared" si="20"/>
        <v>-133213.96851627436</v>
      </c>
      <c r="AS48" s="9">
        <f t="shared" si="20"/>
        <v>-131302.87565392908</v>
      </c>
    </row>
    <row r="49" spans="1:45" ht="22.95" customHeight="1">
      <c r="A49" s="1"/>
      <c r="B49" s="1"/>
      <c r="C49" s="1" t="s">
        <v>248</v>
      </c>
      <c r="D49" s="1" t="s">
        <v>11</v>
      </c>
      <c r="E49" s="1"/>
      <c r="F49" s="19">
        <f t="shared" si="13"/>
        <v>162000000</v>
      </c>
      <c r="G49" s="19">
        <f t="shared" si="14"/>
        <v>169200000</v>
      </c>
      <c r="H49" s="19">
        <f t="shared" si="15"/>
        <v>180000000</v>
      </c>
      <c r="I49" s="1"/>
      <c r="J49" s="17">
        <f>'01_가정'!F58*'01_가정'!F62</f>
        <v>13500000</v>
      </c>
      <c r="K49" s="17">
        <f>'01_가정'!F58*'01_가정'!F62</f>
        <v>13500000</v>
      </c>
      <c r="L49" s="17">
        <f>'01_가정'!F58*'01_가정'!F62</f>
        <v>13500000</v>
      </c>
      <c r="M49" s="17">
        <f>'01_가정'!F58*'01_가정'!F62</f>
        <v>13500000</v>
      </c>
      <c r="N49" s="17">
        <f>'01_가정'!F58*'01_가정'!F62</f>
        <v>13500000</v>
      </c>
      <c r="O49" s="17">
        <f>'01_가정'!F58*'01_가정'!F62</f>
        <v>13500000</v>
      </c>
      <c r="P49" s="17">
        <f>'01_가정'!F58*'01_가정'!F62</f>
        <v>13500000</v>
      </c>
      <c r="Q49" s="17">
        <f>'01_가정'!F58*'01_가정'!F62</f>
        <v>13500000</v>
      </c>
      <c r="R49" s="17">
        <f>'01_가정'!F58*'01_가정'!F62</f>
        <v>13500000</v>
      </c>
      <c r="S49" s="17">
        <f>'01_가정'!F58*'01_가정'!F62</f>
        <v>13500000</v>
      </c>
      <c r="T49" s="17">
        <f>'01_가정'!F58*'01_가정'!F62</f>
        <v>13500000</v>
      </c>
      <c r="U49" s="17">
        <f>'01_가정'!F58*'01_가정'!F62</f>
        <v>13500000</v>
      </c>
      <c r="V49" s="17">
        <f>'01_가정'!G58*'01_가정'!G62</f>
        <v>14100000</v>
      </c>
      <c r="W49" s="17">
        <f>'01_가정'!G58*'01_가정'!G62</f>
        <v>14100000</v>
      </c>
      <c r="X49" s="17">
        <f>'01_가정'!G58*'01_가정'!G62</f>
        <v>14100000</v>
      </c>
      <c r="Y49" s="17">
        <f>'01_가정'!G58*'01_가정'!G62</f>
        <v>14100000</v>
      </c>
      <c r="Z49" s="17">
        <f>'01_가정'!G58*'01_가정'!G62</f>
        <v>14100000</v>
      </c>
      <c r="AA49" s="17">
        <f>'01_가정'!G58*'01_가정'!G62</f>
        <v>14100000</v>
      </c>
      <c r="AB49" s="17">
        <f>'01_가정'!G58*'01_가정'!G62</f>
        <v>14100000</v>
      </c>
      <c r="AC49" s="17">
        <f>'01_가정'!G58*'01_가정'!G62</f>
        <v>14100000</v>
      </c>
      <c r="AD49" s="17">
        <f>'01_가정'!G58*'01_가정'!G62</f>
        <v>14100000</v>
      </c>
      <c r="AE49" s="17">
        <f>'01_가정'!G58*'01_가정'!G62</f>
        <v>14100000</v>
      </c>
      <c r="AF49" s="17">
        <f>'01_가정'!G58*'01_가정'!G62</f>
        <v>14100000</v>
      </c>
      <c r="AG49" s="17">
        <f>'01_가정'!G58*'01_가정'!G62</f>
        <v>14100000</v>
      </c>
      <c r="AH49" s="17">
        <f>'01_가정'!H58*'01_가정'!H62</f>
        <v>15000000</v>
      </c>
      <c r="AI49" s="17">
        <f>'01_가정'!H58*'01_가정'!H62</f>
        <v>15000000</v>
      </c>
      <c r="AJ49" s="17">
        <f>'01_가정'!H58*'01_가정'!H62</f>
        <v>15000000</v>
      </c>
      <c r="AK49" s="17">
        <f>'01_가정'!H58*'01_가정'!H62</f>
        <v>15000000</v>
      </c>
      <c r="AL49" s="17">
        <f>'01_가정'!H58*'01_가정'!H62</f>
        <v>15000000</v>
      </c>
      <c r="AM49" s="17">
        <f>'01_가정'!H58*'01_가정'!H62</f>
        <v>15000000</v>
      </c>
      <c r="AN49" s="17">
        <f>'01_가정'!H58*'01_가정'!H62</f>
        <v>15000000</v>
      </c>
      <c r="AO49" s="17">
        <f>'01_가정'!H58*'01_가정'!H62</f>
        <v>15000000</v>
      </c>
      <c r="AP49" s="17">
        <f>'01_가정'!H58*'01_가정'!H62</f>
        <v>15000000</v>
      </c>
      <c r="AQ49" s="17">
        <f>'01_가정'!H58*'01_가정'!H62</f>
        <v>15000000</v>
      </c>
      <c r="AR49" s="17">
        <f>'01_가정'!H58*'01_가정'!H62</f>
        <v>15000000</v>
      </c>
      <c r="AS49" s="17">
        <f>'01_가정'!H58*'01_가정'!H62</f>
        <v>15000000</v>
      </c>
    </row>
    <row r="50" spans="1:45" ht="22.95" customHeight="1">
      <c r="A50" s="1"/>
      <c r="B50" s="1"/>
      <c r="C50" s="1" t="s">
        <v>249</v>
      </c>
      <c r="D50" s="1" t="s">
        <v>11</v>
      </c>
      <c r="E50" s="1"/>
      <c r="F50" s="19">
        <f t="shared" si="13"/>
        <v>24000000</v>
      </c>
      <c r="G50" s="19">
        <f t="shared" si="14"/>
        <v>30000000</v>
      </c>
      <c r="H50" s="19">
        <f t="shared" si="15"/>
        <v>36000000</v>
      </c>
      <c r="I50" s="1"/>
      <c r="J50" s="17">
        <f>'01_가정'!F66</f>
        <v>2000000</v>
      </c>
      <c r="K50" s="17">
        <f>'01_가정'!F66</f>
        <v>2000000</v>
      </c>
      <c r="L50" s="17">
        <f>'01_가정'!F66</f>
        <v>2000000</v>
      </c>
      <c r="M50" s="17">
        <f>'01_가정'!F66</f>
        <v>2000000</v>
      </c>
      <c r="N50" s="17">
        <f>'01_가정'!F66</f>
        <v>2000000</v>
      </c>
      <c r="O50" s="17">
        <f>'01_가정'!F66</f>
        <v>2000000</v>
      </c>
      <c r="P50" s="17">
        <f>'01_가정'!F66</f>
        <v>2000000</v>
      </c>
      <c r="Q50" s="17">
        <f>'01_가정'!F66</f>
        <v>2000000</v>
      </c>
      <c r="R50" s="17">
        <f>'01_가정'!F66</f>
        <v>2000000</v>
      </c>
      <c r="S50" s="17">
        <f>'01_가정'!F66</f>
        <v>2000000</v>
      </c>
      <c r="T50" s="17">
        <f>'01_가정'!F66</f>
        <v>2000000</v>
      </c>
      <c r="U50" s="17">
        <f>'01_가정'!F66</f>
        <v>2000000</v>
      </c>
      <c r="V50" s="17">
        <f>'01_가정'!G66</f>
        <v>2500000</v>
      </c>
      <c r="W50" s="17">
        <f>'01_가정'!G66</f>
        <v>2500000</v>
      </c>
      <c r="X50" s="17">
        <f>'01_가정'!G66</f>
        <v>2500000</v>
      </c>
      <c r="Y50" s="17">
        <f>'01_가정'!G66</f>
        <v>2500000</v>
      </c>
      <c r="Z50" s="17">
        <f>'01_가정'!G66</f>
        <v>2500000</v>
      </c>
      <c r="AA50" s="17">
        <f>'01_가정'!G66</f>
        <v>2500000</v>
      </c>
      <c r="AB50" s="17">
        <f>'01_가정'!G66</f>
        <v>2500000</v>
      </c>
      <c r="AC50" s="17">
        <f>'01_가정'!G66</f>
        <v>2500000</v>
      </c>
      <c r="AD50" s="17">
        <f>'01_가정'!G66</f>
        <v>2500000</v>
      </c>
      <c r="AE50" s="17">
        <f>'01_가정'!G66</f>
        <v>2500000</v>
      </c>
      <c r="AF50" s="17">
        <f>'01_가정'!G66</f>
        <v>2500000</v>
      </c>
      <c r="AG50" s="17">
        <f>'01_가정'!G66</f>
        <v>2500000</v>
      </c>
      <c r="AH50" s="17">
        <f>'01_가정'!H66</f>
        <v>3000000</v>
      </c>
      <c r="AI50" s="17">
        <f>'01_가정'!H66</f>
        <v>3000000</v>
      </c>
      <c r="AJ50" s="17">
        <f>'01_가정'!H66</f>
        <v>3000000</v>
      </c>
      <c r="AK50" s="17">
        <f>'01_가정'!H66</f>
        <v>3000000</v>
      </c>
      <c r="AL50" s="17">
        <f>'01_가정'!H66</f>
        <v>3000000</v>
      </c>
      <c r="AM50" s="17">
        <f>'01_가정'!H66</f>
        <v>3000000</v>
      </c>
      <c r="AN50" s="17">
        <f>'01_가정'!H66</f>
        <v>3000000</v>
      </c>
      <c r="AO50" s="17">
        <f>'01_가정'!H66</f>
        <v>3000000</v>
      </c>
      <c r="AP50" s="17">
        <f>'01_가정'!H66</f>
        <v>3000000</v>
      </c>
      <c r="AQ50" s="17">
        <f>'01_가정'!H66</f>
        <v>3000000</v>
      </c>
      <c r="AR50" s="17">
        <f>'01_가정'!H66</f>
        <v>3000000</v>
      </c>
      <c r="AS50" s="17">
        <f>'01_가정'!H66</f>
        <v>3000000</v>
      </c>
    </row>
    <row r="51" spans="1:45" ht="22.95" customHeight="1">
      <c r="A51" s="1"/>
      <c r="B51" s="1"/>
      <c r="C51" s="1" t="s">
        <v>250</v>
      </c>
      <c r="D51" s="1" t="s">
        <v>11</v>
      </c>
      <c r="E51" s="1"/>
      <c r="F51" s="19">
        <f t="shared" si="13"/>
        <v>55000000</v>
      </c>
      <c r="G51" s="19">
        <f t="shared" si="14"/>
        <v>18000000</v>
      </c>
      <c r="H51" s="19">
        <f t="shared" si="15"/>
        <v>18000000</v>
      </c>
      <c r="I51" s="1"/>
      <c r="J51" s="17">
        <f>'01_가정'!$F$109*'05_100일검증'!J23</f>
        <v>2000000</v>
      </c>
      <c r="K51" s="17">
        <f>'01_가정'!$F$109*'05_100일검증'!K23</f>
        <v>3000000</v>
      </c>
      <c r="L51" s="17">
        <f>'01_가정'!$F$109*'05_100일검증'!L23</f>
        <v>3000000</v>
      </c>
      <c r="M51" s="17">
        <f>'01_가정'!$F$109*'05_100일검증'!M23+'01_가정'!$F$108</f>
        <v>17000000</v>
      </c>
      <c r="N51" s="17">
        <f>'01_가정'!$F$108</f>
        <v>15000000</v>
      </c>
      <c r="O51" s="17">
        <f>'01_가정'!$F$108</f>
        <v>15000000</v>
      </c>
      <c r="P51" s="19">
        <f>0</f>
        <v>0</v>
      </c>
      <c r="Q51" s="19">
        <f>0</f>
        <v>0</v>
      </c>
      <c r="R51" s="19">
        <f>0</f>
        <v>0</v>
      </c>
      <c r="S51" s="19">
        <f>0</f>
        <v>0</v>
      </c>
      <c r="T51" s="19">
        <f>0</f>
        <v>0</v>
      </c>
      <c r="U51" s="19">
        <f>0</f>
        <v>0</v>
      </c>
      <c r="V51" s="17">
        <f>'01_가정'!G108</f>
        <v>1500000</v>
      </c>
      <c r="W51" s="17">
        <f>'01_가정'!G108</f>
        <v>1500000</v>
      </c>
      <c r="X51" s="17">
        <f>'01_가정'!G108</f>
        <v>1500000</v>
      </c>
      <c r="Y51" s="17">
        <f>'01_가정'!G108</f>
        <v>1500000</v>
      </c>
      <c r="Z51" s="17">
        <f>'01_가정'!G108</f>
        <v>1500000</v>
      </c>
      <c r="AA51" s="17">
        <f>'01_가정'!G108</f>
        <v>1500000</v>
      </c>
      <c r="AB51" s="17">
        <f>'01_가정'!G108</f>
        <v>1500000</v>
      </c>
      <c r="AC51" s="17">
        <f>'01_가정'!G108</f>
        <v>1500000</v>
      </c>
      <c r="AD51" s="17">
        <f>'01_가정'!G108</f>
        <v>1500000</v>
      </c>
      <c r="AE51" s="17">
        <f>'01_가정'!G108</f>
        <v>1500000</v>
      </c>
      <c r="AF51" s="17">
        <f>'01_가정'!G108</f>
        <v>1500000</v>
      </c>
      <c r="AG51" s="17">
        <f>'01_가정'!G108</f>
        <v>1500000</v>
      </c>
      <c r="AH51" s="17">
        <f>'01_가정'!H108</f>
        <v>1500000</v>
      </c>
      <c r="AI51" s="17">
        <f>'01_가정'!H108</f>
        <v>1500000</v>
      </c>
      <c r="AJ51" s="17">
        <f>'01_가정'!H108</f>
        <v>1500000</v>
      </c>
      <c r="AK51" s="17">
        <f>'01_가정'!H108</f>
        <v>1500000</v>
      </c>
      <c r="AL51" s="17">
        <f>'01_가정'!H108</f>
        <v>1500000</v>
      </c>
      <c r="AM51" s="17">
        <f>'01_가정'!H108</f>
        <v>1500000</v>
      </c>
      <c r="AN51" s="17">
        <f>'01_가정'!H108</f>
        <v>1500000</v>
      </c>
      <c r="AO51" s="17">
        <f>'01_가정'!H108</f>
        <v>1500000</v>
      </c>
      <c r="AP51" s="17">
        <f>'01_가정'!H108</f>
        <v>1500000</v>
      </c>
      <c r="AQ51" s="17">
        <f>'01_가정'!H108</f>
        <v>1500000</v>
      </c>
      <c r="AR51" s="17">
        <f>'01_가정'!H108</f>
        <v>1500000</v>
      </c>
      <c r="AS51" s="17">
        <f>'01_가정'!H108</f>
        <v>1500000</v>
      </c>
    </row>
    <row r="52" spans="1:45" ht="22.95" customHeight="1">
      <c r="A52" s="1"/>
      <c r="B52" s="1"/>
      <c r="C52" s="8" t="s">
        <v>15</v>
      </c>
      <c r="D52" s="8" t="s">
        <v>11</v>
      </c>
      <c r="E52" s="8"/>
      <c r="F52" s="9">
        <f t="shared" si="13"/>
        <v>-243364339.78581819</v>
      </c>
      <c r="G52" s="9">
        <f t="shared" si="14"/>
        <v>-232651929.54709783</v>
      </c>
      <c r="H52" s="9">
        <f t="shared" si="15"/>
        <v>-237555650.72405469</v>
      </c>
      <c r="I52" s="8"/>
      <c r="J52" s="9">
        <f t="shared" ref="J52:AS52" si="21">J48-SUM(J49:J51)</f>
        <v>-17500000</v>
      </c>
      <c r="K52" s="9">
        <f t="shared" si="21"/>
        <v>-18500000</v>
      </c>
      <c r="L52" s="9">
        <f t="shared" si="21"/>
        <v>-18500000</v>
      </c>
      <c r="M52" s="9">
        <f t="shared" si="21"/>
        <v>-32500000</v>
      </c>
      <c r="N52" s="9">
        <f t="shared" si="21"/>
        <v>-30500000</v>
      </c>
      <c r="O52" s="9">
        <f t="shared" si="21"/>
        <v>-30500000</v>
      </c>
      <c r="P52" s="9">
        <f t="shared" si="21"/>
        <v>-15500000</v>
      </c>
      <c r="Q52" s="9">
        <f t="shared" si="21"/>
        <v>-15500000</v>
      </c>
      <c r="R52" s="9">
        <f t="shared" si="21"/>
        <v>-15500000</v>
      </c>
      <c r="S52" s="9">
        <f t="shared" si="21"/>
        <v>-16034092.181818182</v>
      </c>
      <c r="T52" s="9">
        <f t="shared" si="21"/>
        <v>-16282218.835745456</v>
      </c>
      <c r="U52" s="9">
        <f t="shared" si="21"/>
        <v>-16548028.768254546</v>
      </c>
      <c r="V52" s="9">
        <f t="shared" si="21"/>
        <v>-19465357.419225175</v>
      </c>
      <c r="W52" s="9">
        <f t="shared" si="21"/>
        <v>-19458482.776354697</v>
      </c>
      <c r="X52" s="9">
        <f t="shared" si="21"/>
        <v>-19453120.554915722</v>
      </c>
      <c r="Y52" s="9">
        <f t="shared" si="21"/>
        <v>-19448938.02219332</v>
      </c>
      <c r="Z52" s="9">
        <f t="shared" si="21"/>
        <v>-19445675.64666985</v>
      </c>
      <c r="AA52" s="9">
        <f t="shared" si="21"/>
        <v>-19443130.993761539</v>
      </c>
      <c r="AB52" s="9">
        <f t="shared" si="21"/>
        <v>-19339161.535799954</v>
      </c>
      <c r="AC52" s="9">
        <f t="shared" si="21"/>
        <v>-19337613.368970539</v>
      </c>
      <c r="AD52" s="9">
        <f t="shared" si="21"/>
        <v>-19336405.798843596</v>
      </c>
      <c r="AE52" s="9">
        <f t="shared" si="21"/>
        <v>-19308695.285504248</v>
      </c>
      <c r="AF52" s="9">
        <f t="shared" si="21"/>
        <v>-19307960.599839017</v>
      </c>
      <c r="AG52" s="9">
        <f t="shared" si="21"/>
        <v>-19307387.545020133</v>
      </c>
      <c r="AH52" s="9">
        <f t="shared" si="21"/>
        <v>-20096849.902990211</v>
      </c>
      <c r="AI52" s="9">
        <f t="shared" si="21"/>
        <v>-20079051.463741306</v>
      </c>
      <c r="AJ52" s="9">
        <f t="shared" si="21"/>
        <v>-20064812.712342188</v>
      </c>
      <c r="AK52" s="9">
        <f t="shared" si="21"/>
        <v>-19825106.611352123</v>
      </c>
      <c r="AL52" s="9">
        <f t="shared" si="21"/>
        <v>-19815993.810456678</v>
      </c>
      <c r="AM52" s="9">
        <f t="shared" si="21"/>
        <v>-19808703.569740333</v>
      </c>
      <c r="AN52" s="9">
        <f t="shared" si="21"/>
        <v>-19659359.028677054</v>
      </c>
      <c r="AO52" s="9">
        <f t="shared" si="21"/>
        <v>-19654693.274618588</v>
      </c>
      <c r="AP52" s="9">
        <f t="shared" si="21"/>
        <v>-19650960.671371818</v>
      </c>
      <c r="AQ52" s="9">
        <f t="shared" si="21"/>
        <v>-19635602.834594209</v>
      </c>
      <c r="AR52" s="9">
        <f t="shared" si="21"/>
        <v>-19633213.968516275</v>
      </c>
      <c r="AS52" s="9">
        <f t="shared" si="21"/>
        <v>-19631302.87565393</v>
      </c>
    </row>
    <row r="53" spans="1:45" ht="22.95" customHeight="1">
      <c r="A53" s="1"/>
      <c r="B53" s="1"/>
      <c r="C53" s="1" t="s">
        <v>251</v>
      </c>
      <c r="D53" s="1" t="s">
        <v>11</v>
      </c>
      <c r="E53" s="1"/>
      <c r="F53" s="19">
        <f t="shared" si="13"/>
        <v>3472222.2222222225</v>
      </c>
      <c r="G53" s="19">
        <f t="shared" si="14"/>
        <v>8333333.3333333321</v>
      </c>
      <c r="H53" s="19">
        <f t="shared" si="15"/>
        <v>8333333.3333333321</v>
      </c>
      <c r="I53" s="1"/>
      <c r="J53" s="17">
        <f>'04_재고현금'!J33</f>
        <v>0</v>
      </c>
      <c r="K53" s="17">
        <f>'04_재고현금'!K33</f>
        <v>0</v>
      </c>
      <c r="L53" s="17">
        <f>'04_재고현금'!L33</f>
        <v>0</v>
      </c>
      <c r="M53" s="17">
        <f>'04_재고현금'!M33</f>
        <v>0</v>
      </c>
      <c r="N53" s="17">
        <f>'04_재고현금'!N33</f>
        <v>0</v>
      </c>
      <c r="O53" s="17">
        <f>'04_재고현금'!O33</f>
        <v>0</v>
      </c>
      <c r="P53" s="17">
        <f>'04_재고현금'!P33</f>
        <v>0</v>
      </c>
      <c r="Q53" s="17">
        <f>'04_재고현금'!Q33</f>
        <v>694444.4444444445</v>
      </c>
      <c r="R53" s="17">
        <f>'04_재고현금'!R33</f>
        <v>694444.4444444445</v>
      </c>
      <c r="S53" s="17">
        <f>'04_재고현금'!S33</f>
        <v>694444.4444444445</v>
      </c>
      <c r="T53" s="17">
        <f>'04_재고현금'!T33</f>
        <v>694444.4444444445</v>
      </c>
      <c r="U53" s="17">
        <f>'04_재고현금'!U33</f>
        <v>694444.4444444445</v>
      </c>
      <c r="V53" s="17">
        <f>'04_재고현금'!V33</f>
        <v>694444.4444444445</v>
      </c>
      <c r="W53" s="17">
        <f>'04_재고현금'!W33</f>
        <v>694444.4444444445</v>
      </c>
      <c r="X53" s="17">
        <f>'04_재고현금'!X33</f>
        <v>694444.4444444445</v>
      </c>
      <c r="Y53" s="17">
        <f>'04_재고현금'!Y33</f>
        <v>694444.4444444445</v>
      </c>
      <c r="Z53" s="17">
        <f>'04_재고현금'!Z33</f>
        <v>694444.4444444445</v>
      </c>
      <c r="AA53" s="17">
        <f>'04_재고현금'!AA33</f>
        <v>694444.4444444445</v>
      </c>
      <c r="AB53" s="17">
        <f>'04_재고현금'!AB33</f>
        <v>694444.4444444445</v>
      </c>
      <c r="AC53" s="17">
        <f>'04_재고현금'!AC33</f>
        <v>694444.4444444445</v>
      </c>
      <c r="AD53" s="17">
        <f>'04_재고현금'!AD33</f>
        <v>694444.4444444445</v>
      </c>
      <c r="AE53" s="17">
        <f>'04_재고현금'!AE33</f>
        <v>694444.4444444445</v>
      </c>
      <c r="AF53" s="17">
        <f>'04_재고현금'!AF33</f>
        <v>694444.4444444445</v>
      </c>
      <c r="AG53" s="17">
        <f>'04_재고현금'!AG33</f>
        <v>694444.4444444445</v>
      </c>
      <c r="AH53" s="17">
        <f>'04_재고현금'!AH33</f>
        <v>694444.4444444445</v>
      </c>
      <c r="AI53" s="17">
        <f>'04_재고현금'!AI33</f>
        <v>694444.4444444445</v>
      </c>
      <c r="AJ53" s="17">
        <f>'04_재고현금'!AJ33</f>
        <v>694444.4444444445</v>
      </c>
      <c r="AK53" s="17">
        <f>'04_재고현금'!AK33</f>
        <v>694444.4444444445</v>
      </c>
      <c r="AL53" s="17">
        <f>'04_재고현금'!AL33</f>
        <v>694444.4444444445</v>
      </c>
      <c r="AM53" s="17">
        <f>'04_재고현금'!AM33</f>
        <v>694444.4444444445</v>
      </c>
      <c r="AN53" s="17">
        <f>'04_재고현금'!AN33</f>
        <v>694444.4444444445</v>
      </c>
      <c r="AO53" s="17">
        <f>'04_재고현금'!AO33</f>
        <v>694444.4444444445</v>
      </c>
      <c r="AP53" s="17">
        <f>'04_재고현금'!AP33</f>
        <v>694444.4444444445</v>
      </c>
      <c r="AQ53" s="17">
        <f>'04_재고현금'!AQ33</f>
        <v>694444.4444444445</v>
      </c>
      <c r="AR53" s="17">
        <f>'04_재고현금'!AR33</f>
        <v>694444.4444444445</v>
      </c>
      <c r="AS53" s="17">
        <f>'04_재고현금'!AS33</f>
        <v>694444.4444444445</v>
      </c>
    </row>
    <row r="54" spans="1:45" ht="22.95" customHeight="1">
      <c r="A54" s="1"/>
      <c r="B54" s="1"/>
      <c r="C54" s="8" t="s">
        <v>16</v>
      </c>
      <c r="D54" s="8" t="s">
        <v>11</v>
      </c>
      <c r="E54" s="8"/>
      <c r="F54" s="9">
        <f t="shared" si="13"/>
        <v>-246836562.00804043</v>
      </c>
      <c r="G54" s="9">
        <f t="shared" si="14"/>
        <v>-240985262.88043112</v>
      </c>
      <c r="H54" s="9">
        <f t="shared" si="15"/>
        <v>-245888984.05738804</v>
      </c>
      <c r="I54" s="8"/>
      <c r="J54" s="9">
        <f t="shared" ref="J54:AS54" si="22">J52-J53</f>
        <v>-17500000</v>
      </c>
      <c r="K54" s="9">
        <f t="shared" si="22"/>
        <v>-18500000</v>
      </c>
      <c r="L54" s="9">
        <f t="shared" si="22"/>
        <v>-18500000</v>
      </c>
      <c r="M54" s="9">
        <f t="shared" si="22"/>
        <v>-32500000</v>
      </c>
      <c r="N54" s="9">
        <f t="shared" si="22"/>
        <v>-30500000</v>
      </c>
      <c r="O54" s="9">
        <f t="shared" si="22"/>
        <v>-30500000</v>
      </c>
      <c r="P54" s="9">
        <f t="shared" si="22"/>
        <v>-15500000</v>
      </c>
      <c r="Q54" s="9">
        <f t="shared" si="22"/>
        <v>-16194444.444444444</v>
      </c>
      <c r="R54" s="9">
        <f t="shared" si="22"/>
        <v>-16194444.444444444</v>
      </c>
      <c r="S54" s="9">
        <f t="shared" si="22"/>
        <v>-16728536.626262626</v>
      </c>
      <c r="T54" s="9">
        <f t="shared" si="22"/>
        <v>-16976663.280189902</v>
      </c>
      <c r="U54" s="9">
        <f t="shared" si="22"/>
        <v>-17242473.212698992</v>
      </c>
      <c r="V54" s="9">
        <f t="shared" si="22"/>
        <v>-20159801.863669619</v>
      </c>
      <c r="W54" s="9">
        <f t="shared" si="22"/>
        <v>-20152927.220799141</v>
      </c>
      <c r="X54" s="9">
        <f t="shared" si="22"/>
        <v>-20147564.999360166</v>
      </c>
      <c r="Y54" s="9">
        <f t="shared" si="22"/>
        <v>-20143382.466637764</v>
      </c>
      <c r="Z54" s="9">
        <f t="shared" si="22"/>
        <v>-20140120.091114294</v>
      </c>
      <c r="AA54" s="9">
        <f t="shared" si="22"/>
        <v>-20137575.438205983</v>
      </c>
      <c r="AB54" s="9">
        <f t="shared" si="22"/>
        <v>-20033605.980244398</v>
      </c>
      <c r="AC54" s="9">
        <f t="shared" si="22"/>
        <v>-20032057.813414983</v>
      </c>
      <c r="AD54" s="9">
        <f t="shared" si="22"/>
        <v>-20030850.24328804</v>
      </c>
      <c r="AE54" s="9">
        <f t="shared" si="22"/>
        <v>-20003139.729948692</v>
      </c>
      <c r="AF54" s="9">
        <f t="shared" si="22"/>
        <v>-20002405.044283461</v>
      </c>
      <c r="AG54" s="9">
        <f t="shared" si="22"/>
        <v>-20001831.989464577</v>
      </c>
      <c r="AH54" s="9">
        <f t="shared" si="22"/>
        <v>-20791294.347434655</v>
      </c>
      <c r="AI54" s="9">
        <f t="shared" si="22"/>
        <v>-20773495.90818575</v>
      </c>
      <c r="AJ54" s="9">
        <f t="shared" si="22"/>
        <v>-20759257.156786632</v>
      </c>
      <c r="AK54" s="9">
        <f t="shared" si="22"/>
        <v>-20519551.055796567</v>
      </c>
      <c r="AL54" s="9">
        <f t="shared" si="22"/>
        <v>-20510438.254901122</v>
      </c>
      <c r="AM54" s="9">
        <f t="shared" si="22"/>
        <v>-20503148.014184777</v>
      </c>
      <c r="AN54" s="9">
        <f t="shared" si="22"/>
        <v>-20353803.473121498</v>
      </c>
      <c r="AO54" s="9">
        <f t="shared" si="22"/>
        <v>-20349137.719063032</v>
      </c>
      <c r="AP54" s="9">
        <f t="shared" si="22"/>
        <v>-20345405.115816262</v>
      </c>
      <c r="AQ54" s="9">
        <f t="shared" si="22"/>
        <v>-20330047.279038653</v>
      </c>
      <c r="AR54" s="9">
        <f t="shared" si="22"/>
        <v>-20327658.412960719</v>
      </c>
      <c r="AS54" s="9">
        <f t="shared" si="22"/>
        <v>-20325747.320098374</v>
      </c>
    </row>
    <row r="55" spans="1:45" ht="22.95" customHeight="1">
      <c r="A55" s="1"/>
      <c r="B55" s="1"/>
      <c r="C55" s="1" t="s">
        <v>252</v>
      </c>
      <c r="D55" s="1" t="s">
        <v>54</v>
      </c>
      <c r="E55" s="1"/>
      <c r="F55" s="20">
        <f>IF(F33&gt;0,F48/F33,"n.a.")</f>
        <v>-0.42128799776485759</v>
      </c>
      <c r="G55" s="20">
        <f>IF(G33&gt;0,G48/G33,"n.a.")</f>
        <v>-0.18113913807014245</v>
      </c>
      <c r="H55" s="20">
        <f>IF(H33&gt;0,H48/H33,"n.a.")</f>
        <v>-1.9248430193297701E-2</v>
      </c>
      <c r="I55" s="1"/>
      <c r="J55" s="20" t="str">
        <f t="shared" ref="J55:AS55" si="23">IF(J33&gt;0,J48/J33,"n.a.")</f>
        <v>n.a.</v>
      </c>
      <c r="K55" s="20" t="str">
        <f t="shared" si="23"/>
        <v>n.a.</v>
      </c>
      <c r="L55" s="20" t="str">
        <f t="shared" si="23"/>
        <v>n.a.</v>
      </c>
      <c r="M55" s="20" t="str">
        <f t="shared" si="23"/>
        <v>n.a.</v>
      </c>
      <c r="N55" s="20" t="str">
        <f t="shared" si="23"/>
        <v>n.a.</v>
      </c>
      <c r="O55" s="20" t="str">
        <f t="shared" si="23"/>
        <v>n.a.</v>
      </c>
      <c r="P55" s="20" t="str">
        <f t="shared" si="23"/>
        <v>n.a.</v>
      </c>
      <c r="Q55" s="20" t="str">
        <f t="shared" si="23"/>
        <v>n.a.</v>
      </c>
      <c r="R55" s="20" t="str">
        <f t="shared" si="23"/>
        <v>n.a.</v>
      </c>
      <c r="S55" s="20">
        <f t="shared" si="23"/>
        <v>-0.44649749202006389</v>
      </c>
      <c r="T55" s="20">
        <f t="shared" si="23"/>
        <v>-0.41105570146928383</v>
      </c>
      <c r="U55" s="20">
        <f t="shared" si="23"/>
        <v>-0.41703673503696426</v>
      </c>
      <c r="V55" s="20">
        <f t="shared" si="23"/>
        <v>-0.19646798848171756</v>
      </c>
      <c r="W55" s="20">
        <f t="shared" si="23"/>
        <v>-0.19395277085034066</v>
      </c>
      <c r="X55" s="20">
        <f t="shared" si="23"/>
        <v>-0.19201799716727036</v>
      </c>
      <c r="Y55" s="20">
        <f t="shared" si="23"/>
        <v>-0.19052505487326343</v>
      </c>
      <c r="Z55" s="20">
        <f t="shared" si="23"/>
        <v>-0.18937026339489102</v>
      </c>
      <c r="AA55" s="20">
        <f t="shared" si="23"/>
        <v>-0.18847536383731003</v>
      </c>
      <c r="AB55" s="20">
        <f t="shared" si="23"/>
        <v>-0.17350146378274423</v>
      </c>
      <c r="AC55" s="20">
        <f t="shared" si="23"/>
        <v>-0.17298645706539223</v>
      </c>
      <c r="AD55" s="20">
        <f t="shared" si="23"/>
        <v>-0.17258598082130691</v>
      </c>
      <c r="AE55" s="20">
        <f t="shared" si="23"/>
        <v>-0.16854171172994581</v>
      </c>
      <c r="AF55" s="20">
        <f t="shared" si="23"/>
        <v>-0.16830213330582572</v>
      </c>
      <c r="AG55" s="20">
        <f t="shared" si="23"/>
        <v>-0.1681155327710088</v>
      </c>
      <c r="AH55" s="20">
        <f t="shared" si="23"/>
        <v>-3.9650528773616182E-2</v>
      </c>
      <c r="AI55" s="20">
        <f t="shared" si="23"/>
        <v>-3.8185480852322144E-2</v>
      </c>
      <c r="AJ55" s="20">
        <f t="shared" si="23"/>
        <v>-3.7028852709874938E-2</v>
      </c>
      <c r="AK55" s="20">
        <f t="shared" si="23"/>
        <v>-2.1214658034183039E-2</v>
      </c>
      <c r="AL55" s="20">
        <f t="shared" si="23"/>
        <v>-2.0543533168179109E-2</v>
      </c>
      <c r="AM55" s="20">
        <f t="shared" si="23"/>
        <v>-2.001020685708628E-2</v>
      </c>
      <c r="AN55" s="20">
        <f t="shared" si="23"/>
        <v>-1.0305285548558108E-2</v>
      </c>
      <c r="AO55" s="20">
        <f t="shared" si="23"/>
        <v>-9.9847058757979411E-3</v>
      </c>
      <c r="AP55" s="20">
        <f t="shared" si="23"/>
        <v>-9.7291111095173018E-3</v>
      </c>
      <c r="AQ55" s="20">
        <f t="shared" si="23"/>
        <v>-8.7288136689714826E-3</v>
      </c>
      <c r="AR55" s="20">
        <f t="shared" si="23"/>
        <v>-8.5667947587305653E-3</v>
      </c>
      <c r="AS55" s="20">
        <f t="shared" si="23"/>
        <v>-8.4374038279972086E-3</v>
      </c>
    </row>
    <row r="56" spans="1:45" ht="22.95" customHeight="1">
      <c r="A56" s="1"/>
      <c r="B56" s="1"/>
      <c r="C56" s="1" t="s">
        <v>253</v>
      </c>
      <c r="D56" s="1" t="s">
        <v>11</v>
      </c>
      <c r="E56" s="1"/>
      <c r="F56" s="19">
        <f>IF(F17&gt;0,F47/F17,"n.a.")</f>
        <v>60267.857142857145</v>
      </c>
      <c r="G56" s="19">
        <f>IF(G17&gt;0,G47/G17,"n.a.")</f>
        <v>44776.119402985074</v>
      </c>
      <c r="H56" s="19">
        <f>IF(H17&gt;0,H47/H17,"n.a.")</f>
        <v>35714.285714285717</v>
      </c>
      <c r="I56" s="1"/>
      <c r="J56" s="19" t="str">
        <f t="shared" ref="J56:AS56" si="24">IF(J17&gt;0,J47/J17,"n.a.")</f>
        <v>n.a.</v>
      </c>
      <c r="K56" s="19" t="str">
        <f t="shared" si="24"/>
        <v>n.a.</v>
      </c>
      <c r="L56" s="19" t="str">
        <f t="shared" si="24"/>
        <v>n.a.</v>
      </c>
      <c r="M56" s="19" t="str">
        <f t="shared" si="24"/>
        <v>n.a.</v>
      </c>
      <c r="N56" s="19" t="str">
        <f t="shared" si="24"/>
        <v>n.a.</v>
      </c>
      <c r="O56" s="19" t="str">
        <f t="shared" si="24"/>
        <v>n.a.</v>
      </c>
      <c r="P56" s="19" t="str">
        <f t="shared" si="24"/>
        <v>n.a.</v>
      </c>
      <c r="Q56" s="19" t="str">
        <f t="shared" si="24"/>
        <v>n.a.</v>
      </c>
      <c r="R56" s="19" t="str">
        <f t="shared" si="24"/>
        <v>n.a.</v>
      </c>
      <c r="S56" s="19">
        <f t="shared" si="24"/>
        <v>62500</v>
      </c>
      <c r="T56" s="19">
        <f t="shared" si="24"/>
        <v>59210.526315789473</v>
      </c>
      <c r="U56" s="19">
        <f t="shared" si="24"/>
        <v>60000</v>
      </c>
      <c r="V56" s="19">
        <f t="shared" si="24"/>
        <v>44776.119402985074</v>
      </c>
      <c r="W56" s="19">
        <f t="shared" si="24"/>
        <v>44776.119402985074</v>
      </c>
      <c r="X56" s="19">
        <f t="shared" si="24"/>
        <v>44776.119402985074</v>
      </c>
      <c r="Y56" s="19">
        <f t="shared" si="24"/>
        <v>44776.119402985074</v>
      </c>
      <c r="Z56" s="19">
        <f t="shared" si="24"/>
        <v>44776.119402985074</v>
      </c>
      <c r="AA56" s="19">
        <f t="shared" si="24"/>
        <v>44776.119402985074</v>
      </c>
      <c r="AB56" s="19">
        <f t="shared" si="24"/>
        <v>44776.119402985074</v>
      </c>
      <c r="AC56" s="19">
        <f t="shared" si="24"/>
        <v>44776.119402985074</v>
      </c>
      <c r="AD56" s="19">
        <f t="shared" si="24"/>
        <v>44776.119402985074</v>
      </c>
      <c r="AE56" s="19">
        <f t="shared" si="24"/>
        <v>44776.119402985074</v>
      </c>
      <c r="AF56" s="19">
        <f t="shared" si="24"/>
        <v>44776.119402985074</v>
      </c>
      <c r="AG56" s="19">
        <f t="shared" si="24"/>
        <v>44776.119402985074</v>
      </c>
      <c r="AH56" s="19">
        <f t="shared" si="24"/>
        <v>35714.285714285717</v>
      </c>
      <c r="AI56" s="19">
        <f t="shared" si="24"/>
        <v>35714.285714285717</v>
      </c>
      <c r="AJ56" s="19">
        <f t="shared" si="24"/>
        <v>35714.285714285717</v>
      </c>
      <c r="AK56" s="19">
        <f t="shared" si="24"/>
        <v>35714.285714285717</v>
      </c>
      <c r="AL56" s="19">
        <f t="shared" si="24"/>
        <v>35714.285714285717</v>
      </c>
      <c r="AM56" s="19">
        <f t="shared" si="24"/>
        <v>35714.285714285717</v>
      </c>
      <c r="AN56" s="19">
        <f t="shared" si="24"/>
        <v>35714.285714285717</v>
      </c>
      <c r="AO56" s="19">
        <f t="shared" si="24"/>
        <v>35714.285714285717</v>
      </c>
      <c r="AP56" s="19">
        <f t="shared" si="24"/>
        <v>35714.285714285717</v>
      </c>
      <c r="AQ56" s="19">
        <f t="shared" si="24"/>
        <v>35714.285714285717</v>
      </c>
      <c r="AR56" s="19">
        <f t="shared" si="24"/>
        <v>35714.285714285717</v>
      </c>
      <c r="AS56" s="19">
        <f t="shared" si="24"/>
        <v>35714.285714285717</v>
      </c>
    </row>
    <row r="57" spans="1:45" ht="22.95" customHeight="1">
      <c r="A57" s="1"/>
      <c r="B57" s="1"/>
      <c r="C57" s="1" t="s">
        <v>254</v>
      </c>
      <c r="D57" s="1" t="s">
        <v>11</v>
      </c>
      <c r="E57" s="1"/>
      <c r="F57" s="19">
        <f>SUM(J57:U57)</f>
        <v>186000000</v>
      </c>
      <c r="G57" s="19">
        <f>SUM(V57:AG57)</f>
        <v>199200000</v>
      </c>
      <c r="H57" s="19">
        <f>SUM(AH57:AS57)</f>
        <v>216000000</v>
      </c>
      <c r="I57" s="1"/>
      <c r="J57" s="19">
        <f t="shared" ref="J57:AS57" si="25">SUM(J49:J50)</f>
        <v>15500000</v>
      </c>
      <c r="K57" s="19">
        <f t="shared" si="25"/>
        <v>15500000</v>
      </c>
      <c r="L57" s="19">
        <f t="shared" si="25"/>
        <v>15500000</v>
      </c>
      <c r="M57" s="19">
        <f t="shared" si="25"/>
        <v>15500000</v>
      </c>
      <c r="N57" s="19">
        <f t="shared" si="25"/>
        <v>15500000</v>
      </c>
      <c r="O57" s="19">
        <f t="shared" si="25"/>
        <v>15500000</v>
      </c>
      <c r="P57" s="19">
        <f t="shared" si="25"/>
        <v>15500000</v>
      </c>
      <c r="Q57" s="19">
        <f t="shared" si="25"/>
        <v>15500000</v>
      </c>
      <c r="R57" s="19">
        <f t="shared" si="25"/>
        <v>15500000</v>
      </c>
      <c r="S57" s="19">
        <f t="shared" si="25"/>
        <v>15500000</v>
      </c>
      <c r="T57" s="19">
        <f t="shared" si="25"/>
        <v>15500000</v>
      </c>
      <c r="U57" s="19">
        <f t="shared" si="25"/>
        <v>15500000</v>
      </c>
      <c r="V57" s="19">
        <f t="shared" si="25"/>
        <v>16600000</v>
      </c>
      <c r="W57" s="19">
        <f t="shared" si="25"/>
        <v>16600000</v>
      </c>
      <c r="X57" s="19">
        <f t="shared" si="25"/>
        <v>16600000</v>
      </c>
      <c r="Y57" s="19">
        <f t="shared" si="25"/>
        <v>16600000</v>
      </c>
      <c r="Z57" s="19">
        <f t="shared" si="25"/>
        <v>16600000</v>
      </c>
      <c r="AA57" s="19">
        <f t="shared" si="25"/>
        <v>16600000</v>
      </c>
      <c r="AB57" s="19">
        <f t="shared" si="25"/>
        <v>16600000</v>
      </c>
      <c r="AC57" s="19">
        <f t="shared" si="25"/>
        <v>16600000</v>
      </c>
      <c r="AD57" s="19">
        <f t="shared" si="25"/>
        <v>16600000</v>
      </c>
      <c r="AE57" s="19">
        <f t="shared" si="25"/>
        <v>16600000</v>
      </c>
      <c r="AF57" s="19">
        <f t="shared" si="25"/>
        <v>16600000</v>
      </c>
      <c r="AG57" s="19">
        <f t="shared" si="25"/>
        <v>16600000</v>
      </c>
      <c r="AH57" s="19">
        <f t="shared" si="25"/>
        <v>18000000</v>
      </c>
      <c r="AI57" s="19">
        <f t="shared" si="25"/>
        <v>18000000</v>
      </c>
      <c r="AJ57" s="19">
        <f t="shared" si="25"/>
        <v>18000000</v>
      </c>
      <c r="AK57" s="19">
        <f t="shared" si="25"/>
        <v>18000000</v>
      </c>
      <c r="AL57" s="19">
        <f t="shared" si="25"/>
        <v>18000000</v>
      </c>
      <c r="AM57" s="19">
        <f t="shared" si="25"/>
        <v>18000000</v>
      </c>
      <c r="AN57" s="19">
        <f t="shared" si="25"/>
        <v>18000000</v>
      </c>
      <c r="AO57" s="19">
        <f t="shared" si="25"/>
        <v>18000000</v>
      </c>
      <c r="AP57" s="19">
        <f t="shared" si="25"/>
        <v>18000000</v>
      </c>
      <c r="AQ57" s="19">
        <f t="shared" si="25"/>
        <v>18000000</v>
      </c>
      <c r="AR57" s="19">
        <f t="shared" si="25"/>
        <v>18000000</v>
      </c>
      <c r="AS57" s="19">
        <f t="shared" si="25"/>
        <v>18000000</v>
      </c>
    </row>
    <row r="58" spans="1:45" ht="22.9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22.9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36" customHeight="1">
      <c r="A60" s="1"/>
      <c r="B60" s="1"/>
      <c r="C60" s="35" t="s">
        <v>255</v>
      </c>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row>
    <row r="61" spans="1:45" ht="22.9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36" customHeight="1">
      <c r="A62" s="1"/>
      <c r="B62" s="1"/>
      <c r="C62" s="35" t="s">
        <v>256</v>
      </c>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row>
    <row r="63" spans="1:45" ht="22.9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22.9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sheetData>
  <mergeCells count="2">
    <mergeCell ref="C60:AS60"/>
    <mergeCell ref="C62:AS62"/>
  </mergeCells>
  <phoneticPr fontId="2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AS52"/>
  <sheetViews>
    <sheetView showGridLines="0" workbookViewId="0">
      <pane xSplit="3" ySplit="6" topLeftCell="D7" activePane="bottomRight" state="frozen"/>
      <selection pane="topRight"/>
      <selection pane="bottomLeft"/>
      <selection pane="bottomRight" activeCell="D7" sqref="D7"/>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45" width="14" customWidth="1"/>
  </cols>
  <sheetData>
    <row r="1" spans="1:45" ht="22.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34.950000000000003" customHeight="1">
      <c r="A2" s="1"/>
      <c r="B2" s="1"/>
      <c r="C2" s="2" t="s">
        <v>257</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22.9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22.95" customHeight="1">
      <c r="A4" s="1"/>
      <c r="B4" s="1"/>
      <c r="C4" s="1" t="s">
        <v>1</v>
      </c>
      <c r="D4" s="1"/>
      <c r="E4" s="1"/>
      <c r="F4" s="31" t="str">
        <f>'01_가정'!H4</f>
        <v>보수</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30" customHeight="1">
      <c r="A5" s="1"/>
      <c r="B5" s="1"/>
      <c r="C5" s="1"/>
      <c r="D5" s="1"/>
      <c r="E5" s="1"/>
      <c r="F5" s="7" t="s">
        <v>5</v>
      </c>
      <c r="G5" s="7" t="s">
        <v>6</v>
      </c>
      <c r="H5" s="7" t="s">
        <v>7</v>
      </c>
      <c r="I5" s="1"/>
      <c r="J5" s="23">
        <f>EDATE('01_가정'!$F$5,0)</f>
        <v>46388</v>
      </c>
      <c r="K5" s="23">
        <f>EDATE('01_가정'!$F$5,1)</f>
        <v>46419</v>
      </c>
      <c r="L5" s="23">
        <f>EDATE('01_가정'!$F$5,2)</f>
        <v>46447</v>
      </c>
      <c r="M5" s="23">
        <f>EDATE('01_가정'!$F$5,3)</f>
        <v>46478</v>
      </c>
      <c r="N5" s="23">
        <f>EDATE('01_가정'!$F$5,4)</f>
        <v>46508</v>
      </c>
      <c r="O5" s="23">
        <f>EDATE('01_가정'!$F$5,5)</f>
        <v>46539</v>
      </c>
      <c r="P5" s="23">
        <f>EDATE('01_가정'!$F$5,6)</f>
        <v>46569</v>
      </c>
      <c r="Q5" s="23">
        <f>EDATE('01_가정'!$F$5,7)</f>
        <v>46600</v>
      </c>
      <c r="R5" s="23">
        <f>EDATE('01_가정'!$F$5,8)</f>
        <v>46631</v>
      </c>
      <c r="S5" s="23">
        <f>EDATE('01_가정'!$F$5,9)</f>
        <v>46661</v>
      </c>
      <c r="T5" s="23">
        <f>EDATE('01_가정'!$F$5,10)</f>
        <v>46692</v>
      </c>
      <c r="U5" s="23">
        <f>EDATE('01_가정'!$F$5,11)</f>
        <v>46722</v>
      </c>
      <c r="V5" s="23">
        <f>EDATE('01_가정'!$F$5,12)</f>
        <v>46753</v>
      </c>
      <c r="W5" s="23">
        <f>EDATE('01_가정'!$F$5,13)</f>
        <v>46784</v>
      </c>
      <c r="X5" s="23">
        <f>EDATE('01_가정'!$F$5,14)</f>
        <v>46813</v>
      </c>
      <c r="Y5" s="23">
        <f>EDATE('01_가정'!$F$5,15)</f>
        <v>46844</v>
      </c>
      <c r="Z5" s="23">
        <f>EDATE('01_가정'!$F$5,16)</f>
        <v>46874</v>
      </c>
      <c r="AA5" s="23">
        <f>EDATE('01_가정'!$F$5,17)</f>
        <v>46905</v>
      </c>
      <c r="AB5" s="23">
        <f>EDATE('01_가정'!$F$5,18)</f>
        <v>46935</v>
      </c>
      <c r="AC5" s="23">
        <f>EDATE('01_가정'!$F$5,19)</f>
        <v>46966</v>
      </c>
      <c r="AD5" s="23">
        <f>EDATE('01_가정'!$F$5,20)</f>
        <v>46997</v>
      </c>
      <c r="AE5" s="23">
        <f>EDATE('01_가정'!$F$5,21)</f>
        <v>47027</v>
      </c>
      <c r="AF5" s="23">
        <f>EDATE('01_가정'!$F$5,22)</f>
        <v>47058</v>
      </c>
      <c r="AG5" s="23">
        <f>EDATE('01_가정'!$F$5,23)</f>
        <v>47088</v>
      </c>
      <c r="AH5" s="23">
        <f>EDATE('01_가정'!$F$5,24)</f>
        <v>47119</v>
      </c>
      <c r="AI5" s="23">
        <f>EDATE('01_가정'!$F$5,25)</f>
        <v>47150</v>
      </c>
      <c r="AJ5" s="23">
        <f>EDATE('01_가정'!$F$5,26)</f>
        <v>47178</v>
      </c>
      <c r="AK5" s="23">
        <f>EDATE('01_가정'!$F$5,27)</f>
        <v>47209</v>
      </c>
      <c r="AL5" s="23">
        <f>EDATE('01_가정'!$F$5,28)</f>
        <v>47239</v>
      </c>
      <c r="AM5" s="23">
        <f>EDATE('01_가정'!$F$5,29)</f>
        <v>47270</v>
      </c>
      <c r="AN5" s="23">
        <f>EDATE('01_가정'!$F$5,30)</f>
        <v>47300</v>
      </c>
      <c r="AO5" s="23">
        <f>EDATE('01_가정'!$F$5,31)</f>
        <v>47331</v>
      </c>
      <c r="AP5" s="23">
        <f>EDATE('01_가정'!$F$5,32)</f>
        <v>47362</v>
      </c>
      <c r="AQ5" s="23">
        <f>EDATE('01_가정'!$F$5,33)</f>
        <v>47392</v>
      </c>
      <c r="AR5" s="23">
        <f>EDATE('01_가정'!$F$5,34)</f>
        <v>47423</v>
      </c>
      <c r="AS5" s="23">
        <f>EDATE('01_가정'!$F$5,35)</f>
        <v>47453</v>
      </c>
    </row>
    <row r="6" spans="1:45" ht="22.95" customHeight="1">
      <c r="A6" s="1"/>
      <c r="B6" s="1"/>
      <c r="C6" s="1"/>
      <c r="D6" s="1"/>
      <c r="E6" s="1"/>
      <c r="F6" s="1"/>
      <c r="G6" s="1"/>
      <c r="H6" s="1"/>
      <c r="I6" s="1"/>
      <c r="J6" s="1">
        <v>1</v>
      </c>
      <c r="K6" s="1">
        <v>2</v>
      </c>
      <c r="L6" s="1">
        <v>3</v>
      </c>
      <c r="M6" s="1">
        <v>4</v>
      </c>
      <c r="N6" s="1">
        <v>5</v>
      </c>
      <c r="O6" s="1">
        <v>6</v>
      </c>
      <c r="P6" s="1">
        <v>7</v>
      </c>
      <c r="Q6" s="1">
        <v>8</v>
      </c>
      <c r="R6" s="1">
        <v>9</v>
      </c>
      <c r="S6" s="1">
        <v>10</v>
      </c>
      <c r="T6" s="1">
        <v>11</v>
      </c>
      <c r="U6" s="1">
        <v>12</v>
      </c>
      <c r="V6" s="1">
        <v>13</v>
      </c>
      <c r="W6" s="1">
        <v>14</v>
      </c>
      <c r="X6" s="1">
        <v>15</v>
      </c>
      <c r="Y6" s="1">
        <v>16</v>
      </c>
      <c r="Z6" s="1">
        <v>17</v>
      </c>
      <c r="AA6" s="1">
        <v>18</v>
      </c>
      <c r="AB6" s="1">
        <v>19</v>
      </c>
      <c r="AC6" s="1">
        <v>20</v>
      </c>
      <c r="AD6" s="1">
        <v>21</v>
      </c>
      <c r="AE6" s="1">
        <v>22</v>
      </c>
      <c r="AF6" s="1">
        <v>23</v>
      </c>
      <c r="AG6" s="1">
        <v>24</v>
      </c>
      <c r="AH6" s="1">
        <v>25</v>
      </c>
      <c r="AI6" s="1">
        <v>26</v>
      </c>
      <c r="AJ6" s="1">
        <v>27</v>
      </c>
      <c r="AK6" s="1">
        <v>28</v>
      </c>
      <c r="AL6" s="1">
        <v>29</v>
      </c>
      <c r="AM6" s="1">
        <v>30</v>
      </c>
      <c r="AN6" s="1">
        <v>31</v>
      </c>
      <c r="AO6" s="1">
        <v>32</v>
      </c>
      <c r="AP6" s="1">
        <v>33</v>
      </c>
      <c r="AQ6" s="1">
        <v>34</v>
      </c>
      <c r="AR6" s="1">
        <v>35</v>
      </c>
      <c r="AS6" s="1">
        <v>36</v>
      </c>
    </row>
    <row r="7" spans="1:45" ht="22.9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22.95" customHeight="1">
      <c r="A8" s="1"/>
      <c r="B8" s="1"/>
      <c r="C8" s="1" t="s">
        <v>8</v>
      </c>
      <c r="D8" s="1" t="s">
        <v>9</v>
      </c>
      <c r="E8" s="1"/>
      <c r="F8" s="19">
        <f>SUM(J8:U8)</f>
        <v>56</v>
      </c>
      <c r="G8" s="19">
        <f>SUM(V8:AG8)</f>
        <v>804</v>
      </c>
      <c r="H8" s="19">
        <f>SUM(AH8:AS8)</f>
        <v>1680</v>
      </c>
      <c r="I8" s="1"/>
      <c r="J8" s="17">
        <f>'03_월별손익'!J19</f>
        <v>0</v>
      </c>
      <c r="K8" s="17">
        <f>'03_월별손익'!K19</f>
        <v>0</v>
      </c>
      <c r="L8" s="17">
        <f>'03_월별손익'!L19</f>
        <v>0</v>
      </c>
      <c r="M8" s="17">
        <f>'03_월별손익'!M19</f>
        <v>0</v>
      </c>
      <c r="N8" s="17">
        <f>'03_월별손익'!N19</f>
        <v>0</v>
      </c>
      <c r="O8" s="17">
        <f>'03_월별손익'!O19</f>
        <v>0</v>
      </c>
      <c r="P8" s="17">
        <f>'03_월별손익'!P19</f>
        <v>0</v>
      </c>
      <c r="Q8" s="17">
        <f>'03_월별손익'!Q19</f>
        <v>0</v>
      </c>
      <c r="R8" s="17">
        <f>'03_월별손익'!R19</f>
        <v>0</v>
      </c>
      <c r="S8" s="17">
        <f>'03_월별손익'!S19</f>
        <v>12</v>
      </c>
      <c r="T8" s="17">
        <f>'03_월별손익'!T19</f>
        <v>19</v>
      </c>
      <c r="U8" s="17">
        <f>'03_월별손익'!U19</f>
        <v>25</v>
      </c>
      <c r="V8" s="17">
        <f>'03_월별손익'!V19</f>
        <v>67</v>
      </c>
      <c r="W8" s="17">
        <f>'03_월별손익'!W19</f>
        <v>67</v>
      </c>
      <c r="X8" s="17">
        <f>'03_월별손익'!X19</f>
        <v>67</v>
      </c>
      <c r="Y8" s="17">
        <f>'03_월별손익'!Y19</f>
        <v>67</v>
      </c>
      <c r="Z8" s="17">
        <f>'03_월별손익'!Z19</f>
        <v>67</v>
      </c>
      <c r="AA8" s="17">
        <f>'03_월별손익'!AA19</f>
        <v>67</v>
      </c>
      <c r="AB8" s="17">
        <f>'03_월별손익'!AB19</f>
        <v>67</v>
      </c>
      <c r="AC8" s="17">
        <f>'03_월별손익'!AC19</f>
        <v>67</v>
      </c>
      <c r="AD8" s="17">
        <f>'03_월별손익'!AD19</f>
        <v>67</v>
      </c>
      <c r="AE8" s="17">
        <f>'03_월별손익'!AE19</f>
        <v>67</v>
      </c>
      <c r="AF8" s="17">
        <f>'03_월별손익'!AF19</f>
        <v>67</v>
      </c>
      <c r="AG8" s="17">
        <f>'03_월별손익'!AG19</f>
        <v>67</v>
      </c>
      <c r="AH8" s="17">
        <f>'03_월별손익'!AH19</f>
        <v>140</v>
      </c>
      <c r="AI8" s="17">
        <f>'03_월별손익'!AI19</f>
        <v>140</v>
      </c>
      <c r="AJ8" s="17">
        <f>'03_월별손익'!AJ19</f>
        <v>140</v>
      </c>
      <c r="AK8" s="17">
        <f>'03_월별손익'!AK19</f>
        <v>140</v>
      </c>
      <c r="AL8" s="17">
        <f>'03_월별손익'!AL19</f>
        <v>140</v>
      </c>
      <c r="AM8" s="17">
        <f>'03_월별손익'!AM19</f>
        <v>140</v>
      </c>
      <c r="AN8" s="17">
        <f>'03_월별손익'!AN19</f>
        <v>140</v>
      </c>
      <c r="AO8" s="17">
        <f>'03_월별손익'!AO19</f>
        <v>140</v>
      </c>
      <c r="AP8" s="17">
        <f>'03_월별손익'!AP19</f>
        <v>140</v>
      </c>
      <c r="AQ8" s="17">
        <f>'03_월별손익'!AQ19</f>
        <v>140</v>
      </c>
      <c r="AR8" s="17">
        <f>'03_월별손익'!AR19</f>
        <v>140</v>
      </c>
      <c r="AS8" s="17">
        <f>'03_월별손익'!AS19</f>
        <v>140</v>
      </c>
    </row>
    <row r="9" spans="1:45" ht="22.95" customHeight="1">
      <c r="A9" s="1"/>
      <c r="B9" s="1"/>
      <c r="C9" s="1" t="s">
        <v>258</v>
      </c>
      <c r="D9" s="1" t="s">
        <v>9</v>
      </c>
      <c r="E9" s="1"/>
      <c r="F9" s="19">
        <f>J9</f>
        <v>0</v>
      </c>
      <c r="G9" s="19">
        <f>V9</f>
        <v>244</v>
      </c>
      <c r="H9" s="19">
        <f>AH9</f>
        <v>340</v>
      </c>
      <c r="I9" s="1"/>
      <c r="J9" s="19">
        <f>0</f>
        <v>0</v>
      </c>
      <c r="K9" s="19">
        <f t="shared" ref="K9:AS9" si="0">J11</f>
        <v>0</v>
      </c>
      <c r="L9" s="19">
        <f t="shared" si="0"/>
        <v>0</v>
      </c>
      <c r="M9" s="19">
        <f t="shared" si="0"/>
        <v>0</v>
      </c>
      <c r="N9" s="19">
        <f t="shared" si="0"/>
        <v>0</v>
      </c>
      <c r="O9" s="19">
        <f t="shared" si="0"/>
        <v>0</v>
      </c>
      <c r="P9" s="19">
        <f t="shared" si="0"/>
        <v>0</v>
      </c>
      <c r="Q9" s="19">
        <f t="shared" si="0"/>
        <v>0</v>
      </c>
      <c r="R9" s="19">
        <f t="shared" si="0"/>
        <v>0</v>
      </c>
      <c r="S9" s="19">
        <f t="shared" si="0"/>
        <v>0</v>
      </c>
      <c r="T9" s="19">
        <f t="shared" si="0"/>
        <v>288</v>
      </c>
      <c r="U9" s="19">
        <f t="shared" si="0"/>
        <v>269</v>
      </c>
      <c r="V9" s="19">
        <f t="shared" si="0"/>
        <v>244</v>
      </c>
      <c r="W9" s="19">
        <f t="shared" si="0"/>
        <v>477</v>
      </c>
      <c r="X9" s="19">
        <f t="shared" si="0"/>
        <v>410</v>
      </c>
      <c r="Y9" s="19">
        <f t="shared" si="0"/>
        <v>343</v>
      </c>
      <c r="Z9" s="19">
        <f t="shared" si="0"/>
        <v>276</v>
      </c>
      <c r="AA9" s="19">
        <f t="shared" si="0"/>
        <v>209</v>
      </c>
      <c r="AB9" s="19">
        <f t="shared" si="0"/>
        <v>142</v>
      </c>
      <c r="AC9" s="19">
        <f t="shared" si="0"/>
        <v>375</v>
      </c>
      <c r="AD9" s="19">
        <f t="shared" si="0"/>
        <v>308</v>
      </c>
      <c r="AE9" s="19">
        <f t="shared" si="0"/>
        <v>241</v>
      </c>
      <c r="AF9" s="19">
        <f t="shared" si="0"/>
        <v>474</v>
      </c>
      <c r="AG9" s="19">
        <f t="shared" si="0"/>
        <v>407</v>
      </c>
      <c r="AH9" s="19">
        <f t="shared" si="0"/>
        <v>340</v>
      </c>
      <c r="AI9" s="19">
        <f t="shared" si="0"/>
        <v>500</v>
      </c>
      <c r="AJ9" s="19">
        <f t="shared" si="0"/>
        <v>360</v>
      </c>
      <c r="AK9" s="19">
        <f t="shared" si="0"/>
        <v>220</v>
      </c>
      <c r="AL9" s="19">
        <f t="shared" si="0"/>
        <v>380</v>
      </c>
      <c r="AM9" s="19">
        <f t="shared" si="0"/>
        <v>240</v>
      </c>
      <c r="AN9" s="19">
        <f t="shared" si="0"/>
        <v>100</v>
      </c>
      <c r="AO9" s="19">
        <f t="shared" si="0"/>
        <v>560</v>
      </c>
      <c r="AP9" s="19">
        <f t="shared" si="0"/>
        <v>420</v>
      </c>
      <c r="AQ9" s="19">
        <f t="shared" si="0"/>
        <v>280</v>
      </c>
      <c r="AR9" s="19">
        <f t="shared" si="0"/>
        <v>440</v>
      </c>
      <c r="AS9" s="19">
        <f t="shared" si="0"/>
        <v>300</v>
      </c>
    </row>
    <row r="10" spans="1:45" ht="22.95" customHeight="1">
      <c r="A10" s="1"/>
      <c r="B10" s="1"/>
      <c r="C10" s="1" t="s">
        <v>259</v>
      </c>
      <c r="D10" s="1" t="s">
        <v>9</v>
      </c>
      <c r="E10" s="1"/>
      <c r="F10" s="19">
        <f>SUM(J10:U10)</f>
        <v>300</v>
      </c>
      <c r="G10" s="19">
        <f>SUM(V10:AG10)</f>
        <v>900</v>
      </c>
      <c r="H10" s="19">
        <f>SUM(AH10:AS10)</f>
        <v>1500</v>
      </c>
      <c r="I10" s="1"/>
      <c r="J10" s="17">
        <f>IF(AND(J$6&gt;='01_가정'!F46,MOD(J$6-'01_가정'!F46,3)=0),MAX(0,ROUNDUP((SUM('03_월별손익'!J19:L19)+'01_가정'!$F$100-J9)/'01_가정'!$F$99,0)*'01_가정'!$F$99),0)</f>
        <v>0</v>
      </c>
      <c r="K10" s="17">
        <f>IF(AND(K$6&gt;='01_가정'!F46,MOD(K$6-'01_가정'!F46,3)=0),MAX(0,ROUNDUP((SUM('03_월별손익'!K19:M19)+'01_가정'!$F$100-K9)/'01_가정'!$F$99,0)*'01_가정'!$F$99),0)</f>
        <v>0</v>
      </c>
      <c r="L10" s="17">
        <f>IF(AND(L$6&gt;='01_가정'!F46,MOD(L$6-'01_가정'!F46,3)=0),MAX(0,ROUNDUP((SUM('03_월별손익'!L19:N19)+'01_가정'!$F$100-L9)/'01_가정'!$F$99,0)*'01_가정'!$F$99),0)</f>
        <v>0</v>
      </c>
      <c r="M10" s="17">
        <f>IF(AND(M$6&gt;='01_가정'!F46,MOD(M$6-'01_가정'!F46,3)=0),MAX(0,ROUNDUP((SUM('03_월별손익'!M19:O19)+'01_가정'!$F$100-M9)/'01_가정'!$F$99,0)*'01_가정'!$F$99),0)</f>
        <v>0</v>
      </c>
      <c r="N10" s="17">
        <f>IF(AND(N$6&gt;='01_가정'!F46,MOD(N$6-'01_가정'!F46,3)=0),MAX(0,ROUNDUP((SUM('03_월별손익'!N19:P19)+'01_가정'!$F$100-N9)/'01_가정'!$F$99,0)*'01_가정'!$F$99),0)</f>
        <v>0</v>
      </c>
      <c r="O10" s="17">
        <f>IF(AND(O$6&gt;='01_가정'!F46,MOD(O$6-'01_가정'!F46,3)=0),MAX(0,ROUNDUP((SUM('03_월별손익'!O19:Q19)+'01_가정'!$F$100-O9)/'01_가정'!$F$99,0)*'01_가정'!$F$99),0)</f>
        <v>0</v>
      </c>
      <c r="P10" s="17">
        <f>IF(AND(P$6&gt;='01_가정'!F46,MOD(P$6-'01_가정'!F46,3)=0),MAX(0,ROUNDUP((SUM('03_월별손익'!P19:R19)+'01_가정'!$F$100-P9)/'01_가정'!$F$99,0)*'01_가정'!$F$99),0)</f>
        <v>0</v>
      </c>
      <c r="Q10" s="17">
        <f>IF(AND(Q$6&gt;='01_가정'!F46,MOD(Q$6-'01_가정'!F46,3)=0),MAX(0,ROUNDUP((SUM('03_월별손익'!Q19:S19)+'01_가정'!$F$100-Q9)/'01_가정'!$F$99,0)*'01_가정'!$F$99),0)</f>
        <v>0</v>
      </c>
      <c r="R10" s="17">
        <f>IF(AND(R$6&gt;='01_가정'!F46,MOD(R$6-'01_가정'!F46,3)=0),MAX(0,ROUNDUP((SUM('03_월별손익'!R19:T19)+'01_가정'!$F$100-R9)/'01_가정'!$F$99,0)*'01_가정'!$F$99),0)</f>
        <v>0</v>
      </c>
      <c r="S10" s="17">
        <f>IF(AND(S$6&gt;='01_가정'!F46,MOD(S$6-'01_가정'!F46,3)=0),MAX(0,ROUNDUP((SUM('03_월별손익'!S19:U19)+'01_가정'!$F$100-S9)/'01_가정'!$F$99,0)*'01_가정'!$F$99),0)</f>
        <v>300</v>
      </c>
      <c r="T10" s="17">
        <f>IF(AND(T$6&gt;='01_가정'!F46,MOD(T$6-'01_가정'!F46,3)=0),MAX(0,ROUNDUP((SUM('03_월별손익'!T19:V19)+'01_가정'!$F$100-T9)/'01_가정'!$F$99,0)*'01_가정'!$F$99),0)</f>
        <v>0</v>
      </c>
      <c r="U10" s="17">
        <f>IF(AND(U$6&gt;='01_가정'!F46,MOD(U$6-'01_가정'!F46,3)=0),MAX(0,ROUNDUP((SUM('03_월별손익'!U19:W19)+'01_가정'!$F$100-U9)/'01_가정'!$F$99,0)*'01_가정'!$F$99),0)</f>
        <v>0</v>
      </c>
      <c r="V10" s="17">
        <f>IF(AND(V$6&gt;='01_가정'!F46,MOD(V$6-'01_가정'!F46,3)=0),MAX(0,ROUNDUP((SUM('03_월별손익'!V19:X19)+'01_가정'!$F$100-V9)/'01_가정'!$F$99,0)*'01_가정'!$F$99),0)</f>
        <v>300</v>
      </c>
      <c r="W10" s="17">
        <f>IF(AND(W$6&gt;='01_가정'!F46,MOD(W$6-'01_가정'!F46,3)=0),MAX(0,ROUNDUP((SUM('03_월별손익'!W19:Y19)+'01_가정'!$F$100-W9)/'01_가정'!$F$99,0)*'01_가정'!$F$99),0)</f>
        <v>0</v>
      </c>
      <c r="X10" s="17">
        <f>IF(AND(X$6&gt;='01_가정'!F46,MOD(X$6-'01_가정'!F46,3)=0),MAX(0,ROUNDUP((SUM('03_월별손익'!X19:Z19)+'01_가정'!$F$100-X9)/'01_가정'!$F$99,0)*'01_가정'!$F$99),0)</f>
        <v>0</v>
      </c>
      <c r="Y10" s="17">
        <f>IF(AND(Y$6&gt;='01_가정'!F46,MOD(Y$6-'01_가정'!F46,3)=0),MAX(0,ROUNDUP((SUM('03_월별손익'!Y19:AA19)+'01_가정'!$F$100-Y9)/'01_가정'!$F$99,0)*'01_가정'!$F$99),0)</f>
        <v>0</v>
      </c>
      <c r="Z10" s="17">
        <f>IF(AND(Z$6&gt;='01_가정'!F46,MOD(Z$6-'01_가정'!F46,3)=0),MAX(0,ROUNDUP((SUM('03_월별손익'!Z19:AB19)+'01_가정'!$F$100-Z9)/'01_가정'!$F$99,0)*'01_가정'!$F$99),0)</f>
        <v>0</v>
      </c>
      <c r="AA10" s="17">
        <f>IF(AND(AA$6&gt;='01_가정'!F46,MOD(AA$6-'01_가정'!F46,3)=0),MAX(0,ROUNDUP((SUM('03_월별손익'!AA19:AC19)+'01_가정'!$F$100-AA9)/'01_가정'!$F$99,0)*'01_가정'!$F$99),0)</f>
        <v>0</v>
      </c>
      <c r="AB10" s="17">
        <f>IF(AND(AB$6&gt;='01_가정'!F46,MOD(AB$6-'01_가정'!F46,3)=0),MAX(0,ROUNDUP((SUM('03_월별손익'!AB19:AD19)+'01_가정'!$F$100-AB9)/'01_가정'!$F$99,0)*'01_가정'!$F$99),0)</f>
        <v>300</v>
      </c>
      <c r="AC10" s="17">
        <f>IF(AND(AC$6&gt;='01_가정'!F46,MOD(AC$6-'01_가정'!F46,3)=0),MAX(0,ROUNDUP((SUM('03_월별손익'!AC19:AE19)+'01_가정'!$F$100-AC9)/'01_가정'!$F$99,0)*'01_가정'!$F$99),0)</f>
        <v>0</v>
      </c>
      <c r="AD10" s="17">
        <f>IF(AND(AD$6&gt;='01_가정'!F46,MOD(AD$6-'01_가정'!F46,3)=0),MAX(0,ROUNDUP((SUM('03_월별손익'!AD19:AF19)+'01_가정'!$F$100-AD9)/'01_가정'!$F$99,0)*'01_가정'!$F$99),0)</f>
        <v>0</v>
      </c>
      <c r="AE10" s="17">
        <f>IF(AND(AE$6&gt;='01_가정'!F46,MOD(AE$6-'01_가정'!F46,3)=0),MAX(0,ROUNDUP((SUM('03_월별손익'!AE19:AG19)+'01_가정'!$F$100-AE9)/'01_가정'!$F$99,0)*'01_가정'!$F$99),0)</f>
        <v>300</v>
      </c>
      <c r="AF10" s="17">
        <f>IF(AND(AF$6&gt;='01_가정'!F46,MOD(AF$6-'01_가정'!F46,3)=0),MAX(0,ROUNDUP((SUM('03_월별손익'!AF19:AH19)+'01_가정'!$F$100-AF9)/'01_가정'!$F$99,0)*'01_가정'!$F$99),0)</f>
        <v>0</v>
      </c>
      <c r="AG10" s="17">
        <f>IF(AND(AG$6&gt;='01_가정'!F46,MOD(AG$6-'01_가정'!F46,3)=0),MAX(0,ROUNDUP((SUM('03_월별손익'!AG19:AI19)+'01_가정'!$F$100-AG9)/'01_가정'!$F$99,0)*'01_가정'!$F$99),0)</f>
        <v>0</v>
      </c>
      <c r="AH10" s="17">
        <f>IF(AND(AH$6&gt;='01_가정'!F46,MOD(AH$6-'01_가정'!F46,3)=0),MAX(0,ROUNDUP((SUM('03_월별손익'!AH19:AJ19)+'01_가정'!$F$100-AH9)/'01_가정'!$F$99,0)*'01_가정'!$F$99),0)</f>
        <v>300</v>
      </c>
      <c r="AI10" s="17">
        <f>IF(AND(AI$6&gt;='01_가정'!F46,MOD(AI$6-'01_가정'!F46,3)=0),MAX(0,ROUNDUP((SUM('03_월별손익'!AI19:AK19)+'01_가정'!$F$100-AI9)/'01_가정'!$F$99,0)*'01_가정'!$F$99),0)</f>
        <v>0</v>
      </c>
      <c r="AJ10" s="17">
        <f>IF(AND(AJ$6&gt;='01_가정'!F46,MOD(AJ$6-'01_가정'!F46,3)=0),MAX(0,ROUNDUP((SUM('03_월별손익'!AJ19:AL19)+'01_가정'!$F$100-AJ9)/'01_가정'!$F$99,0)*'01_가정'!$F$99),0)</f>
        <v>0</v>
      </c>
      <c r="AK10" s="17">
        <f>IF(AND(AK$6&gt;='01_가정'!F46,MOD(AK$6-'01_가정'!F46,3)=0),MAX(0,ROUNDUP((SUM('03_월별손익'!AK19:AM19)+'01_가정'!$F$100-AK9)/'01_가정'!$F$99,0)*'01_가정'!$F$99),0)</f>
        <v>300</v>
      </c>
      <c r="AL10" s="17">
        <f>IF(AND(AL$6&gt;='01_가정'!F46,MOD(AL$6-'01_가정'!F46,3)=0),MAX(0,ROUNDUP((SUM('03_월별손익'!AL19:AN19)+'01_가정'!$F$100-AL9)/'01_가정'!$F$99,0)*'01_가정'!$F$99),0)</f>
        <v>0</v>
      </c>
      <c r="AM10" s="17">
        <f>IF(AND(AM$6&gt;='01_가정'!F46,MOD(AM$6-'01_가정'!F46,3)=0),MAX(0,ROUNDUP((SUM('03_월별손익'!AM19:AO19)+'01_가정'!$F$100-AM9)/'01_가정'!$F$99,0)*'01_가정'!$F$99),0)</f>
        <v>0</v>
      </c>
      <c r="AN10" s="17">
        <f>IF(AND(AN$6&gt;='01_가정'!F46,MOD(AN$6-'01_가정'!F46,3)=0),MAX(0,ROUNDUP((SUM('03_월별손익'!AN19:AP19)+'01_가정'!$F$100-AN9)/'01_가정'!$F$99,0)*'01_가정'!$F$99),0)</f>
        <v>600</v>
      </c>
      <c r="AO10" s="17">
        <f>IF(AND(AO$6&gt;='01_가정'!F46,MOD(AO$6-'01_가정'!F46,3)=0),MAX(0,ROUNDUP((SUM('03_월별손익'!AO19:AQ19)+'01_가정'!$F$100-AO9)/'01_가정'!$F$99,0)*'01_가정'!$F$99),0)</f>
        <v>0</v>
      </c>
      <c r="AP10" s="17">
        <f>IF(AND(AP$6&gt;='01_가정'!F46,MOD(AP$6-'01_가정'!F46,3)=0),MAX(0,ROUNDUP((SUM('03_월별손익'!AP19:AR19)+'01_가정'!$F$100-AP9)/'01_가정'!$F$99,0)*'01_가정'!$F$99),0)</f>
        <v>0</v>
      </c>
      <c r="AQ10" s="17">
        <f>IF(AND(AQ$6&gt;='01_가정'!F46,MOD(AQ$6-'01_가정'!F46,3)=0),MAX(0,ROUNDUP((SUM('03_월별손익'!AQ19:AS19)+'01_가정'!$F$100-AQ9)/'01_가정'!$F$99,0)*'01_가정'!$F$99),0)</f>
        <v>300</v>
      </c>
      <c r="AR10" s="17">
        <f>IF(AND(AR$6&gt;='01_가정'!F46,MOD(AR$6-'01_가정'!F46,3)=0),MAX(0,ROUNDUP((SUM('03_월별손익'!AR19:AS19)+'01_가정'!$F$100-AR9)/'01_가정'!$F$99,0)*'01_가정'!$F$99),0)</f>
        <v>0</v>
      </c>
      <c r="AS10" s="17">
        <f>IF(AND(AS$6&gt;='01_가정'!F46,MOD(AS$6-'01_가정'!F46,3)=0),MAX(0,ROUNDUP((SUM('03_월별손익'!AS19:AS19)+'01_가정'!$F$100-AS9)/'01_가정'!$F$99,0)*'01_가정'!$F$99),0)</f>
        <v>0</v>
      </c>
    </row>
    <row r="11" spans="1:45" ht="22.95" customHeight="1">
      <c r="A11" s="1"/>
      <c r="B11" s="1"/>
      <c r="C11" s="8" t="s">
        <v>260</v>
      </c>
      <c r="D11" s="8" t="s">
        <v>9</v>
      </c>
      <c r="E11" s="8"/>
      <c r="F11" s="9">
        <f>U11</f>
        <v>244</v>
      </c>
      <c r="G11" s="9">
        <f>AG11</f>
        <v>340</v>
      </c>
      <c r="H11" s="9">
        <f>AS11</f>
        <v>160</v>
      </c>
      <c r="I11" s="8"/>
      <c r="J11" s="9">
        <f t="shared" ref="J11:AS11" si="1">J9+J10-J8</f>
        <v>0</v>
      </c>
      <c r="K11" s="9">
        <f t="shared" si="1"/>
        <v>0</v>
      </c>
      <c r="L11" s="9">
        <f t="shared" si="1"/>
        <v>0</v>
      </c>
      <c r="M11" s="9">
        <f t="shared" si="1"/>
        <v>0</v>
      </c>
      <c r="N11" s="9">
        <f t="shared" si="1"/>
        <v>0</v>
      </c>
      <c r="O11" s="9">
        <f t="shared" si="1"/>
        <v>0</v>
      </c>
      <c r="P11" s="9">
        <f t="shared" si="1"/>
        <v>0</v>
      </c>
      <c r="Q11" s="9">
        <f t="shared" si="1"/>
        <v>0</v>
      </c>
      <c r="R11" s="9">
        <f t="shared" si="1"/>
        <v>0</v>
      </c>
      <c r="S11" s="9">
        <f t="shared" si="1"/>
        <v>288</v>
      </c>
      <c r="T11" s="9">
        <f t="shared" si="1"/>
        <v>269</v>
      </c>
      <c r="U11" s="9">
        <f t="shared" si="1"/>
        <v>244</v>
      </c>
      <c r="V11" s="9">
        <f t="shared" si="1"/>
        <v>477</v>
      </c>
      <c r="W11" s="9">
        <f t="shared" si="1"/>
        <v>410</v>
      </c>
      <c r="X11" s="9">
        <f t="shared" si="1"/>
        <v>343</v>
      </c>
      <c r="Y11" s="9">
        <f t="shared" si="1"/>
        <v>276</v>
      </c>
      <c r="Z11" s="9">
        <f t="shared" si="1"/>
        <v>209</v>
      </c>
      <c r="AA11" s="9">
        <f t="shared" si="1"/>
        <v>142</v>
      </c>
      <c r="AB11" s="9">
        <f t="shared" si="1"/>
        <v>375</v>
      </c>
      <c r="AC11" s="9">
        <f t="shared" si="1"/>
        <v>308</v>
      </c>
      <c r="AD11" s="9">
        <f t="shared" si="1"/>
        <v>241</v>
      </c>
      <c r="AE11" s="9">
        <f t="shared" si="1"/>
        <v>474</v>
      </c>
      <c r="AF11" s="9">
        <f t="shared" si="1"/>
        <v>407</v>
      </c>
      <c r="AG11" s="9">
        <f t="shared" si="1"/>
        <v>340</v>
      </c>
      <c r="AH11" s="9">
        <f t="shared" si="1"/>
        <v>500</v>
      </c>
      <c r="AI11" s="9">
        <f t="shared" si="1"/>
        <v>360</v>
      </c>
      <c r="AJ11" s="9">
        <f t="shared" si="1"/>
        <v>220</v>
      </c>
      <c r="AK11" s="9">
        <f t="shared" si="1"/>
        <v>380</v>
      </c>
      <c r="AL11" s="9">
        <f t="shared" si="1"/>
        <v>240</v>
      </c>
      <c r="AM11" s="9">
        <f t="shared" si="1"/>
        <v>100</v>
      </c>
      <c r="AN11" s="9">
        <f t="shared" si="1"/>
        <v>560</v>
      </c>
      <c r="AO11" s="9">
        <f t="shared" si="1"/>
        <v>420</v>
      </c>
      <c r="AP11" s="9">
        <f t="shared" si="1"/>
        <v>280</v>
      </c>
      <c r="AQ11" s="9">
        <f t="shared" si="1"/>
        <v>440</v>
      </c>
      <c r="AR11" s="9">
        <f t="shared" si="1"/>
        <v>300</v>
      </c>
      <c r="AS11" s="9">
        <f t="shared" si="1"/>
        <v>160</v>
      </c>
    </row>
    <row r="12" spans="1:45" ht="22.95" customHeight="1">
      <c r="A12" s="1"/>
      <c r="B12" s="1"/>
      <c r="C12" s="1" t="s">
        <v>261</v>
      </c>
      <c r="D12" s="1" t="s">
        <v>11</v>
      </c>
      <c r="E12" s="1"/>
      <c r="F12" s="1"/>
      <c r="G12" s="1"/>
      <c r="H12" s="1"/>
      <c r="I12" s="1"/>
      <c r="J12" s="17">
        <f>'01_가정'!F14</f>
        <v>70000</v>
      </c>
      <c r="K12" s="17">
        <f>'01_가정'!F14</f>
        <v>70000</v>
      </c>
      <c r="L12" s="17">
        <f>'01_가정'!F14</f>
        <v>70000</v>
      </c>
      <c r="M12" s="17">
        <f>'01_가정'!F14</f>
        <v>70000</v>
      </c>
      <c r="N12" s="17">
        <f>'01_가정'!F14</f>
        <v>70000</v>
      </c>
      <c r="O12" s="17">
        <f>'01_가정'!F14</f>
        <v>70000</v>
      </c>
      <c r="P12" s="17">
        <f>'01_가정'!F14</f>
        <v>70000</v>
      </c>
      <c r="Q12" s="17">
        <f>'01_가정'!F14</f>
        <v>70000</v>
      </c>
      <c r="R12" s="17">
        <f>'01_가정'!F14</f>
        <v>70000</v>
      </c>
      <c r="S12" s="17">
        <f>'01_가정'!F14</f>
        <v>70000</v>
      </c>
      <c r="T12" s="17">
        <f>'01_가정'!F14</f>
        <v>70000</v>
      </c>
      <c r="U12" s="17">
        <f>'01_가정'!F14</f>
        <v>70000</v>
      </c>
      <c r="V12" s="17">
        <f>'01_가정'!G14</f>
        <v>65000</v>
      </c>
      <c r="W12" s="17">
        <f>'01_가정'!G14</f>
        <v>65000</v>
      </c>
      <c r="X12" s="17">
        <f>'01_가정'!G14</f>
        <v>65000</v>
      </c>
      <c r="Y12" s="17">
        <f>'01_가정'!G14</f>
        <v>65000</v>
      </c>
      <c r="Z12" s="17">
        <f>'01_가정'!G14</f>
        <v>65000</v>
      </c>
      <c r="AA12" s="17">
        <f>'01_가정'!G14</f>
        <v>65000</v>
      </c>
      <c r="AB12" s="17">
        <f>'01_가정'!G14</f>
        <v>65000</v>
      </c>
      <c r="AC12" s="17">
        <f>'01_가정'!G14</f>
        <v>65000</v>
      </c>
      <c r="AD12" s="17">
        <f>'01_가정'!G14</f>
        <v>65000</v>
      </c>
      <c r="AE12" s="17">
        <f>'01_가정'!G14</f>
        <v>65000</v>
      </c>
      <c r="AF12" s="17">
        <f>'01_가정'!G14</f>
        <v>65000</v>
      </c>
      <c r="AG12" s="17">
        <f>'01_가정'!G14</f>
        <v>65000</v>
      </c>
      <c r="AH12" s="17">
        <f>'01_가정'!H14</f>
        <v>60000</v>
      </c>
      <c r="AI12" s="17">
        <f>'01_가정'!H14</f>
        <v>60000</v>
      </c>
      <c r="AJ12" s="17">
        <f>'01_가정'!H14</f>
        <v>60000</v>
      </c>
      <c r="AK12" s="17">
        <f>'01_가정'!H14</f>
        <v>60000</v>
      </c>
      <c r="AL12" s="17">
        <f>'01_가정'!H14</f>
        <v>60000</v>
      </c>
      <c r="AM12" s="17">
        <f>'01_가정'!H14</f>
        <v>60000</v>
      </c>
      <c r="AN12" s="17">
        <f>'01_가정'!H14</f>
        <v>60000</v>
      </c>
      <c r="AO12" s="17">
        <f>'01_가정'!H14</f>
        <v>60000</v>
      </c>
      <c r="AP12" s="17">
        <f>'01_가정'!H14</f>
        <v>60000</v>
      </c>
      <c r="AQ12" s="17">
        <f>'01_가정'!H14</f>
        <v>60000</v>
      </c>
      <c r="AR12" s="17">
        <f>'01_가정'!H14</f>
        <v>60000</v>
      </c>
      <c r="AS12" s="17">
        <f>'01_가정'!H14</f>
        <v>60000</v>
      </c>
    </row>
    <row r="13" spans="1:45" ht="22.95" customHeight="1">
      <c r="A13" s="1"/>
      <c r="B13" s="1"/>
      <c r="C13" s="1" t="s">
        <v>262</v>
      </c>
      <c r="D13" s="1" t="s">
        <v>11</v>
      </c>
      <c r="E13" s="1"/>
      <c r="F13" s="19">
        <f>SUM(J13:U13)</f>
        <v>21000000</v>
      </c>
      <c r="G13" s="19">
        <f>SUM(V13:AG13)</f>
        <v>58500000</v>
      </c>
      <c r="H13" s="19">
        <f>SUM(AH13:AS13)</f>
        <v>90000000</v>
      </c>
      <c r="I13" s="1"/>
      <c r="J13" s="19">
        <f t="shared" ref="J13:AS13" si="2">J10*J12</f>
        <v>0</v>
      </c>
      <c r="K13" s="19">
        <f t="shared" si="2"/>
        <v>0</v>
      </c>
      <c r="L13" s="19">
        <f t="shared" si="2"/>
        <v>0</v>
      </c>
      <c r="M13" s="19">
        <f t="shared" si="2"/>
        <v>0</v>
      </c>
      <c r="N13" s="19">
        <f t="shared" si="2"/>
        <v>0</v>
      </c>
      <c r="O13" s="19">
        <f t="shared" si="2"/>
        <v>0</v>
      </c>
      <c r="P13" s="19">
        <f t="shared" si="2"/>
        <v>0</v>
      </c>
      <c r="Q13" s="19">
        <f t="shared" si="2"/>
        <v>0</v>
      </c>
      <c r="R13" s="19">
        <f t="shared" si="2"/>
        <v>0</v>
      </c>
      <c r="S13" s="19">
        <f t="shared" si="2"/>
        <v>21000000</v>
      </c>
      <c r="T13" s="19">
        <f t="shared" si="2"/>
        <v>0</v>
      </c>
      <c r="U13" s="19">
        <f t="shared" si="2"/>
        <v>0</v>
      </c>
      <c r="V13" s="19">
        <f t="shared" si="2"/>
        <v>19500000</v>
      </c>
      <c r="W13" s="19">
        <f t="shared" si="2"/>
        <v>0</v>
      </c>
      <c r="X13" s="19">
        <f t="shared" si="2"/>
        <v>0</v>
      </c>
      <c r="Y13" s="19">
        <f t="shared" si="2"/>
        <v>0</v>
      </c>
      <c r="Z13" s="19">
        <f t="shared" si="2"/>
        <v>0</v>
      </c>
      <c r="AA13" s="19">
        <f t="shared" si="2"/>
        <v>0</v>
      </c>
      <c r="AB13" s="19">
        <f t="shared" si="2"/>
        <v>19500000</v>
      </c>
      <c r="AC13" s="19">
        <f t="shared" si="2"/>
        <v>0</v>
      </c>
      <c r="AD13" s="19">
        <f t="shared" si="2"/>
        <v>0</v>
      </c>
      <c r="AE13" s="19">
        <f t="shared" si="2"/>
        <v>19500000</v>
      </c>
      <c r="AF13" s="19">
        <f t="shared" si="2"/>
        <v>0</v>
      </c>
      <c r="AG13" s="19">
        <f t="shared" si="2"/>
        <v>0</v>
      </c>
      <c r="AH13" s="19">
        <f t="shared" si="2"/>
        <v>18000000</v>
      </c>
      <c r="AI13" s="19">
        <f t="shared" si="2"/>
        <v>0</v>
      </c>
      <c r="AJ13" s="19">
        <f t="shared" si="2"/>
        <v>0</v>
      </c>
      <c r="AK13" s="19">
        <f t="shared" si="2"/>
        <v>18000000</v>
      </c>
      <c r="AL13" s="19">
        <f t="shared" si="2"/>
        <v>0</v>
      </c>
      <c r="AM13" s="19">
        <f t="shared" si="2"/>
        <v>0</v>
      </c>
      <c r="AN13" s="19">
        <f t="shared" si="2"/>
        <v>36000000</v>
      </c>
      <c r="AO13" s="19">
        <f t="shared" si="2"/>
        <v>0</v>
      </c>
      <c r="AP13" s="19">
        <f t="shared" si="2"/>
        <v>0</v>
      </c>
      <c r="AQ13" s="19">
        <f t="shared" si="2"/>
        <v>18000000</v>
      </c>
      <c r="AR13" s="19">
        <f t="shared" si="2"/>
        <v>0</v>
      </c>
      <c r="AS13" s="19">
        <f t="shared" si="2"/>
        <v>0</v>
      </c>
    </row>
    <row r="14" spans="1:45" ht="22.95" customHeight="1">
      <c r="A14" s="1"/>
      <c r="B14" s="1"/>
      <c r="C14" s="1" t="s">
        <v>263</v>
      </c>
      <c r="D14" s="1" t="s">
        <v>11</v>
      </c>
      <c r="E14" s="1"/>
      <c r="F14" s="19">
        <f>J14</f>
        <v>0</v>
      </c>
      <c r="G14" s="19">
        <f>V14</f>
        <v>17080000</v>
      </c>
      <c r="H14" s="19">
        <f>AH14</f>
        <v>22209125.362785529</v>
      </c>
      <c r="I14" s="1"/>
      <c r="J14" s="19">
        <f>0</f>
        <v>0</v>
      </c>
      <c r="K14" s="19">
        <f t="shared" ref="K14:AS14" si="3">J17</f>
        <v>0</v>
      </c>
      <c r="L14" s="19">
        <f t="shared" si="3"/>
        <v>0</v>
      </c>
      <c r="M14" s="19">
        <f t="shared" si="3"/>
        <v>0</v>
      </c>
      <c r="N14" s="19">
        <f t="shared" si="3"/>
        <v>0</v>
      </c>
      <c r="O14" s="19">
        <f t="shared" si="3"/>
        <v>0</v>
      </c>
      <c r="P14" s="19">
        <f t="shared" si="3"/>
        <v>0</v>
      </c>
      <c r="Q14" s="19">
        <f t="shared" si="3"/>
        <v>0</v>
      </c>
      <c r="R14" s="19">
        <f t="shared" si="3"/>
        <v>0</v>
      </c>
      <c r="S14" s="19">
        <f t="shared" si="3"/>
        <v>0</v>
      </c>
      <c r="T14" s="19">
        <f t="shared" si="3"/>
        <v>20160000</v>
      </c>
      <c r="U14" s="19">
        <f t="shared" si="3"/>
        <v>18830000</v>
      </c>
      <c r="V14" s="19">
        <f t="shared" si="3"/>
        <v>17080000</v>
      </c>
      <c r="W14" s="19">
        <f t="shared" si="3"/>
        <v>32074742.647058822</v>
      </c>
      <c r="X14" s="19">
        <f t="shared" si="3"/>
        <v>27569485.294117644</v>
      </c>
      <c r="Y14" s="19">
        <f t="shared" si="3"/>
        <v>23064227.941176467</v>
      </c>
      <c r="Z14" s="19">
        <f t="shared" si="3"/>
        <v>18558970.588235289</v>
      </c>
      <c r="AA14" s="19">
        <f t="shared" si="3"/>
        <v>14053713.235294115</v>
      </c>
      <c r="AB14" s="19">
        <f t="shared" si="3"/>
        <v>9548455.8823529407</v>
      </c>
      <c r="AC14" s="19">
        <f t="shared" si="3"/>
        <v>24645183.15810487</v>
      </c>
      <c r="AD14" s="19">
        <f t="shared" si="3"/>
        <v>20241910.4338568</v>
      </c>
      <c r="AE14" s="19">
        <f t="shared" si="3"/>
        <v>15838637.70960873</v>
      </c>
      <c r="AF14" s="19">
        <f t="shared" si="3"/>
        <v>30962133.594000999</v>
      </c>
      <c r="AG14" s="19">
        <f t="shared" si="3"/>
        <v>26585629.478393264</v>
      </c>
      <c r="AH14" s="19">
        <f t="shared" si="3"/>
        <v>22209125.362785529</v>
      </c>
      <c r="AI14" s="19">
        <f t="shared" si="3"/>
        <v>31413379.189676195</v>
      </c>
      <c r="AJ14" s="19">
        <f t="shared" si="3"/>
        <v>22617633.016566861</v>
      </c>
      <c r="AK14" s="19">
        <f t="shared" si="3"/>
        <v>13821886.843457526</v>
      </c>
      <c r="AL14" s="19">
        <f t="shared" si="3"/>
        <v>23254455.770218961</v>
      </c>
      <c r="AM14" s="19">
        <f t="shared" si="3"/>
        <v>14687024.696980396</v>
      </c>
      <c r="AN14" s="19">
        <f t="shared" si="3"/>
        <v>6119593.6237418316</v>
      </c>
      <c r="AO14" s="19">
        <f t="shared" si="3"/>
        <v>33695674.89899347</v>
      </c>
      <c r="AP14" s="19">
        <f t="shared" si="3"/>
        <v>25271756.174245104</v>
      </c>
      <c r="AQ14" s="19">
        <f t="shared" si="3"/>
        <v>16847837.449496735</v>
      </c>
      <c r="AR14" s="19">
        <f t="shared" si="3"/>
        <v>26436290.478928555</v>
      </c>
      <c r="AS14" s="19">
        <f t="shared" si="3"/>
        <v>18024743.508360378</v>
      </c>
    </row>
    <row r="15" spans="1:45" ht="22.95" customHeight="1">
      <c r="A15" s="1"/>
      <c r="B15" s="1"/>
      <c r="C15" s="1" t="s">
        <v>264</v>
      </c>
      <c r="D15" s="1" t="s">
        <v>11</v>
      </c>
      <c r="E15" s="1"/>
      <c r="F15" s="1"/>
      <c r="G15" s="1"/>
      <c r="H15" s="1"/>
      <c r="I15" s="1"/>
      <c r="J15" s="19">
        <f t="shared" ref="J15:AS15" si="4">IF(SUM(J9:J10)&gt;0,(J14+J13)/SUM(J9:J10),0)</f>
        <v>0</v>
      </c>
      <c r="K15" s="19">
        <f t="shared" si="4"/>
        <v>0</v>
      </c>
      <c r="L15" s="19">
        <f t="shared" si="4"/>
        <v>0</v>
      </c>
      <c r="M15" s="19">
        <f t="shared" si="4"/>
        <v>0</v>
      </c>
      <c r="N15" s="19">
        <f t="shared" si="4"/>
        <v>0</v>
      </c>
      <c r="O15" s="19">
        <f t="shared" si="4"/>
        <v>0</v>
      </c>
      <c r="P15" s="19">
        <f t="shared" si="4"/>
        <v>0</v>
      </c>
      <c r="Q15" s="19">
        <f t="shared" si="4"/>
        <v>0</v>
      </c>
      <c r="R15" s="19">
        <f t="shared" si="4"/>
        <v>0</v>
      </c>
      <c r="S15" s="19">
        <f t="shared" si="4"/>
        <v>70000</v>
      </c>
      <c r="T15" s="19">
        <f t="shared" si="4"/>
        <v>70000</v>
      </c>
      <c r="U15" s="19">
        <f t="shared" si="4"/>
        <v>70000</v>
      </c>
      <c r="V15" s="19">
        <f t="shared" si="4"/>
        <v>67242.647058823524</v>
      </c>
      <c r="W15" s="19">
        <f t="shared" si="4"/>
        <v>67242.647058823524</v>
      </c>
      <c r="X15" s="19">
        <f t="shared" si="4"/>
        <v>67242.647058823524</v>
      </c>
      <c r="Y15" s="19">
        <f t="shared" si="4"/>
        <v>67242.647058823524</v>
      </c>
      <c r="Z15" s="19">
        <f t="shared" si="4"/>
        <v>67242.64705882351</v>
      </c>
      <c r="AA15" s="19">
        <f t="shared" si="4"/>
        <v>67242.64705882351</v>
      </c>
      <c r="AB15" s="19">
        <f t="shared" si="4"/>
        <v>65720.488421612987</v>
      </c>
      <c r="AC15" s="19">
        <f t="shared" si="4"/>
        <v>65720.488421612987</v>
      </c>
      <c r="AD15" s="19">
        <f t="shared" si="4"/>
        <v>65720.488421612987</v>
      </c>
      <c r="AE15" s="19">
        <f t="shared" si="4"/>
        <v>65320.956949369196</v>
      </c>
      <c r="AF15" s="19">
        <f t="shared" si="4"/>
        <v>65320.956949369196</v>
      </c>
      <c r="AG15" s="19">
        <f t="shared" si="4"/>
        <v>65320.956949369196</v>
      </c>
      <c r="AH15" s="19">
        <f t="shared" si="4"/>
        <v>62826.758379352395</v>
      </c>
      <c r="AI15" s="19">
        <f t="shared" si="4"/>
        <v>62826.758379352388</v>
      </c>
      <c r="AJ15" s="19">
        <f t="shared" si="4"/>
        <v>62826.758379352395</v>
      </c>
      <c r="AK15" s="19">
        <f t="shared" si="4"/>
        <v>61195.936237418326</v>
      </c>
      <c r="AL15" s="19">
        <f t="shared" si="4"/>
        <v>61195.936237418318</v>
      </c>
      <c r="AM15" s="19">
        <f t="shared" si="4"/>
        <v>61195.936237418318</v>
      </c>
      <c r="AN15" s="19">
        <f t="shared" si="4"/>
        <v>60170.848033916911</v>
      </c>
      <c r="AO15" s="19">
        <f t="shared" si="4"/>
        <v>60170.848033916911</v>
      </c>
      <c r="AP15" s="19">
        <f t="shared" si="4"/>
        <v>60170.848033916918</v>
      </c>
      <c r="AQ15" s="19">
        <f t="shared" si="4"/>
        <v>60082.478361201262</v>
      </c>
      <c r="AR15" s="19">
        <f t="shared" si="4"/>
        <v>60082.478361201262</v>
      </c>
      <c r="AS15" s="19">
        <f t="shared" si="4"/>
        <v>60082.478361201262</v>
      </c>
    </row>
    <row r="16" spans="1:45" ht="22.95" customHeight="1">
      <c r="A16" s="1"/>
      <c r="B16" s="1"/>
      <c r="C16" s="1" t="s">
        <v>265</v>
      </c>
      <c r="D16" s="1" t="s">
        <v>11</v>
      </c>
      <c r="E16" s="1"/>
      <c r="F16" s="19">
        <f>SUM(J16:U16)</f>
        <v>3920000</v>
      </c>
      <c r="G16" s="19">
        <f>SUM(V16:AG16)</f>
        <v>53370874.637214482</v>
      </c>
      <c r="H16" s="19">
        <f>SUM(AH16:AS16)</f>
        <v>102595928.82499336</v>
      </c>
      <c r="I16" s="1"/>
      <c r="J16" s="19">
        <f t="shared" ref="J16:AS16" si="5">J8*J15</f>
        <v>0</v>
      </c>
      <c r="K16" s="19">
        <f t="shared" si="5"/>
        <v>0</v>
      </c>
      <c r="L16" s="19">
        <f t="shared" si="5"/>
        <v>0</v>
      </c>
      <c r="M16" s="19">
        <f t="shared" si="5"/>
        <v>0</v>
      </c>
      <c r="N16" s="19">
        <f t="shared" si="5"/>
        <v>0</v>
      </c>
      <c r="O16" s="19">
        <f t="shared" si="5"/>
        <v>0</v>
      </c>
      <c r="P16" s="19">
        <f t="shared" si="5"/>
        <v>0</v>
      </c>
      <c r="Q16" s="19">
        <f t="shared" si="5"/>
        <v>0</v>
      </c>
      <c r="R16" s="19">
        <f t="shared" si="5"/>
        <v>0</v>
      </c>
      <c r="S16" s="19">
        <f t="shared" si="5"/>
        <v>840000</v>
      </c>
      <c r="T16" s="19">
        <f t="shared" si="5"/>
        <v>1330000</v>
      </c>
      <c r="U16" s="19">
        <f t="shared" si="5"/>
        <v>1750000</v>
      </c>
      <c r="V16" s="19">
        <f t="shared" si="5"/>
        <v>4505257.3529411759</v>
      </c>
      <c r="W16" s="19">
        <f t="shared" si="5"/>
        <v>4505257.3529411759</v>
      </c>
      <c r="X16" s="19">
        <f t="shared" si="5"/>
        <v>4505257.3529411759</v>
      </c>
      <c r="Y16" s="19">
        <f t="shared" si="5"/>
        <v>4505257.3529411759</v>
      </c>
      <c r="Z16" s="19">
        <f t="shared" si="5"/>
        <v>4505257.352941175</v>
      </c>
      <c r="AA16" s="19">
        <f t="shared" si="5"/>
        <v>4505257.352941175</v>
      </c>
      <c r="AB16" s="19">
        <f t="shared" si="5"/>
        <v>4403272.7242480703</v>
      </c>
      <c r="AC16" s="19">
        <f t="shared" si="5"/>
        <v>4403272.7242480703</v>
      </c>
      <c r="AD16" s="19">
        <f t="shared" si="5"/>
        <v>4403272.7242480703</v>
      </c>
      <c r="AE16" s="19">
        <f t="shared" si="5"/>
        <v>4376504.1156077357</v>
      </c>
      <c r="AF16" s="19">
        <f t="shared" si="5"/>
        <v>4376504.1156077357</v>
      </c>
      <c r="AG16" s="19">
        <f t="shared" si="5"/>
        <v>4376504.1156077357</v>
      </c>
      <c r="AH16" s="19">
        <f t="shared" si="5"/>
        <v>8795746.1731093358</v>
      </c>
      <c r="AI16" s="19">
        <f t="shared" si="5"/>
        <v>8795746.173109334</v>
      </c>
      <c r="AJ16" s="19">
        <f t="shared" si="5"/>
        <v>8795746.1731093358</v>
      </c>
      <c r="AK16" s="19">
        <f t="shared" si="5"/>
        <v>8567431.0732385665</v>
      </c>
      <c r="AL16" s="19">
        <f t="shared" si="5"/>
        <v>8567431.0732385647</v>
      </c>
      <c r="AM16" s="19">
        <f t="shared" si="5"/>
        <v>8567431.0732385647</v>
      </c>
      <c r="AN16" s="19">
        <f t="shared" si="5"/>
        <v>8423918.7247483674</v>
      </c>
      <c r="AO16" s="19">
        <f t="shared" si="5"/>
        <v>8423918.7247483674</v>
      </c>
      <c r="AP16" s="19">
        <f t="shared" si="5"/>
        <v>8423918.7247483693</v>
      </c>
      <c r="AQ16" s="19">
        <f t="shared" si="5"/>
        <v>8411546.9705681764</v>
      </c>
      <c r="AR16" s="19">
        <f t="shared" si="5"/>
        <v>8411546.9705681764</v>
      </c>
      <c r="AS16" s="19">
        <f t="shared" si="5"/>
        <v>8411546.9705681764</v>
      </c>
    </row>
    <row r="17" spans="1:45" ht="22.95" customHeight="1">
      <c r="A17" s="1"/>
      <c r="B17" s="1"/>
      <c r="C17" s="8" t="s">
        <v>266</v>
      </c>
      <c r="D17" s="8" t="s">
        <v>11</v>
      </c>
      <c r="E17" s="8"/>
      <c r="F17" s="9">
        <f>U17</f>
        <v>17080000</v>
      </c>
      <c r="G17" s="9">
        <f>AG17</f>
        <v>22209125.362785529</v>
      </c>
      <c r="H17" s="9">
        <f>AS17</f>
        <v>9613196.5377922021</v>
      </c>
      <c r="I17" s="8"/>
      <c r="J17" s="9">
        <f t="shared" ref="J17:AS17" si="6">J14+J13-J16</f>
        <v>0</v>
      </c>
      <c r="K17" s="9">
        <f t="shared" si="6"/>
        <v>0</v>
      </c>
      <c r="L17" s="9">
        <f t="shared" si="6"/>
        <v>0</v>
      </c>
      <c r="M17" s="9">
        <f t="shared" si="6"/>
        <v>0</v>
      </c>
      <c r="N17" s="9">
        <f t="shared" si="6"/>
        <v>0</v>
      </c>
      <c r="O17" s="9">
        <f t="shared" si="6"/>
        <v>0</v>
      </c>
      <c r="P17" s="9">
        <f t="shared" si="6"/>
        <v>0</v>
      </c>
      <c r="Q17" s="9">
        <f t="shared" si="6"/>
        <v>0</v>
      </c>
      <c r="R17" s="9">
        <f t="shared" si="6"/>
        <v>0</v>
      </c>
      <c r="S17" s="9">
        <f t="shared" si="6"/>
        <v>20160000</v>
      </c>
      <c r="T17" s="9">
        <f t="shared" si="6"/>
        <v>18830000</v>
      </c>
      <c r="U17" s="9">
        <f t="shared" si="6"/>
        <v>17080000</v>
      </c>
      <c r="V17" s="9">
        <f t="shared" si="6"/>
        <v>32074742.647058822</v>
      </c>
      <c r="W17" s="9">
        <f t="shared" si="6"/>
        <v>27569485.294117644</v>
      </c>
      <c r="X17" s="9">
        <f t="shared" si="6"/>
        <v>23064227.941176467</v>
      </c>
      <c r="Y17" s="9">
        <f t="shared" si="6"/>
        <v>18558970.588235289</v>
      </c>
      <c r="Z17" s="9">
        <f t="shared" si="6"/>
        <v>14053713.235294115</v>
      </c>
      <c r="AA17" s="9">
        <f t="shared" si="6"/>
        <v>9548455.8823529407</v>
      </c>
      <c r="AB17" s="9">
        <f t="shared" si="6"/>
        <v>24645183.15810487</v>
      </c>
      <c r="AC17" s="9">
        <f t="shared" si="6"/>
        <v>20241910.4338568</v>
      </c>
      <c r="AD17" s="9">
        <f t="shared" si="6"/>
        <v>15838637.70960873</v>
      </c>
      <c r="AE17" s="9">
        <f t="shared" si="6"/>
        <v>30962133.594000999</v>
      </c>
      <c r="AF17" s="9">
        <f t="shared" si="6"/>
        <v>26585629.478393264</v>
      </c>
      <c r="AG17" s="9">
        <f t="shared" si="6"/>
        <v>22209125.362785529</v>
      </c>
      <c r="AH17" s="9">
        <f t="shared" si="6"/>
        <v>31413379.189676195</v>
      </c>
      <c r="AI17" s="9">
        <f t="shared" si="6"/>
        <v>22617633.016566861</v>
      </c>
      <c r="AJ17" s="9">
        <f t="shared" si="6"/>
        <v>13821886.843457526</v>
      </c>
      <c r="AK17" s="9">
        <f t="shared" si="6"/>
        <v>23254455.770218961</v>
      </c>
      <c r="AL17" s="9">
        <f t="shared" si="6"/>
        <v>14687024.696980396</v>
      </c>
      <c r="AM17" s="9">
        <f t="shared" si="6"/>
        <v>6119593.6237418316</v>
      </c>
      <c r="AN17" s="9">
        <f t="shared" si="6"/>
        <v>33695674.89899347</v>
      </c>
      <c r="AO17" s="9">
        <f t="shared" si="6"/>
        <v>25271756.174245104</v>
      </c>
      <c r="AP17" s="9">
        <f t="shared" si="6"/>
        <v>16847837.449496735</v>
      </c>
      <c r="AQ17" s="9">
        <f t="shared" si="6"/>
        <v>26436290.478928555</v>
      </c>
      <c r="AR17" s="9">
        <f t="shared" si="6"/>
        <v>18024743.508360378</v>
      </c>
      <c r="AS17" s="9">
        <f t="shared" si="6"/>
        <v>9613196.5377922021</v>
      </c>
    </row>
    <row r="18" spans="1:45" ht="22.9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22.9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22.95" customHeight="1">
      <c r="A20" s="1"/>
      <c r="B20" s="1"/>
      <c r="C20" s="1" t="s">
        <v>267</v>
      </c>
      <c r="D20" s="1" t="s">
        <v>11</v>
      </c>
      <c r="E20" s="1"/>
      <c r="F20" s="19">
        <f>SUM(J20:U20)</f>
        <v>40500000</v>
      </c>
      <c r="G20" s="19">
        <f>SUM(V20:AG20)</f>
        <v>57000000</v>
      </c>
      <c r="H20" s="19">
        <f>SUM(AH20:AS20)</f>
        <v>72000000</v>
      </c>
      <c r="I20" s="1"/>
      <c r="J20" s="17">
        <f>IF(J$6+'01_가정'!$F$101&lt;=36,INDEX($J$13:$AS$13,1,MIN(36,J$6+'01_가정'!$F$101)),0)+IF('01_가정'!$F$101&gt;0,SUM($J$13:INDEX($J$13:$AS$13,1,MAX(1,MIN(36,'01_가정'!$F$101)))),0)</f>
        <v>0</v>
      </c>
      <c r="K20" s="17">
        <f>IF(K$6+'01_가정'!$F$101&lt;=36,INDEX($J$13:$AS$13,1,MIN(36,K$6+'01_가정'!$F$101)),0)</f>
        <v>0</v>
      </c>
      <c r="L20" s="17">
        <f>IF(L$6+'01_가정'!$F$101&lt;=36,INDEX($J$13:$AS$13,1,MIN(36,L$6+'01_가정'!$F$101)),0)</f>
        <v>0</v>
      </c>
      <c r="M20" s="17">
        <f>IF(M$6+'01_가정'!$F$101&lt;=36,INDEX($J$13:$AS$13,1,MIN(36,M$6+'01_가정'!$F$101)),0)</f>
        <v>0</v>
      </c>
      <c r="N20" s="17">
        <f>IF(N$6+'01_가정'!$F$101&lt;=36,INDEX($J$13:$AS$13,1,MIN(36,N$6+'01_가정'!$F$101)),0)</f>
        <v>0</v>
      </c>
      <c r="O20" s="17">
        <f>IF(O$6+'01_가정'!$F$101&lt;=36,INDEX($J$13:$AS$13,1,MIN(36,O$6+'01_가정'!$F$101)),0)</f>
        <v>0</v>
      </c>
      <c r="P20" s="17">
        <f>IF(P$6+'01_가정'!$F$101&lt;=36,INDEX($J$13:$AS$13,1,MIN(36,P$6+'01_가정'!$F$101)),0)</f>
        <v>0</v>
      </c>
      <c r="Q20" s="17">
        <f>IF(Q$6+'01_가정'!$F$101&lt;=36,INDEX($J$13:$AS$13,1,MIN(36,Q$6+'01_가정'!$F$101)),0)</f>
        <v>21000000</v>
      </c>
      <c r="R20" s="17">
        <f>IF(R$6+'01_가정'!$F$101&lt;=36,INDEX($J$13:$AS$13,1,MIN(36,R$6+'01_가정'!$F$101)),0)</f>
        <v>0</v>
      </c>
      <c r="S20" s="17">
        <f>IF(S$6+'01_가정'!$F$101&lt;=36,INDEX($J$13:$AS$13,1,MIN(36,S$6+'01_가정'!$F$101)),0)</f>
        <v>0</v>
      </c>
      <c r="T20" s="17">
        <f>IF(T$6+'01_가정'!$F$101&lt;=36,INDEX($J$13:$AS$13,1,MIN(36,T$6+'01_가정'!$F$101)),0)</f>
        <v>19500000</v>
      </c>
      <c r="U20" s="17">
        <f>IF(U$6+'01_가정'!$F$101&lt;=36,INDEX($J$13:$AS$13,1,MIN(36,U$6+'01_가정'!$F$101)),0)</f>
        <v>0</v>
      </c>
      <c r="V20" s="17">
        <f>IF(V$6+'01_가정'!$F$101&lt;=36,INDEX($J$13:$AS$13,1,MIN(36,V$6+'01_가정'!$F$101)),0)</f>
        <v>0</v>
      </c>
      <c r="W20" s="17">
        <f>IF(W$6+'01_가정'!$F$101&lt;=36,INDEX($J$13:$AS$13,1,MIN(36,W$6+'01_가정'!$F$101)),0)</f>
        <v>0</v>
      </c>
      <c r="X20" s="17">
        <f>IF(X$6+'01_가정'!$F$101&lt;=36,INDEX($J$13:$AS$13,1,MIN(36,X$6+'01_가정'!$F$101)),0)</f>
        <v>0</v>
      </c>
      <c r="Y20" s="17">
        <f>IF(Y$6+'01_가정'!$F$101&lt;=36,INDEX($J$13:$AS$13,1,MIN(36,Y$6+'01_가정'!$F$101)),0)</f>
        <v>0</v>
      </c>
      <c r="Z20" s="17">
        <f>IF(Z$6+'01_가정'!$F$101&lt;=36,INDEX($J$13:$AS$13,1,MIN(36,Z$6+'01_가정'!$F$101)),0)</f>
        <v>19500000</v>
      </c>
      <c r="AA20" s="17">
        <f>IF(AA$6+'01_가정'!$F$101&lt;=36,INDEX($J$13:$AS$13,1,MIN(36,AA$6+'01_가정'!$F$101)),0)</f>
        <v>0</v>
      </c>
      <c r="AB20" s="17">
        <f>IF(AB$6+'01_가정'!$F$101&lt;=36,INDEX($J$13:$AS$13,1,MIN(36,AB$6+'01_가정'!$F$101)),0)</f>
        <v>0</v>
      </c>
      <c r="AC20" s="17">
        <f>IF(AC$6+'01_가정'!$F$101&lt;=36,INDEX($J$13:$AS$13,1,MIN(36,AC$6+'01_가정'!$F$101)),0)</f>
        <v>19500000</v>
      </c>
      <c r="AD20" s="17">
        <f>IF(AD$6+'01_가정'!$F$101&lt;=36,INDEX($J$13:$AS$13,1,MIN(36,AD$6+'01_가정'!$F$101)),0)</f>
        <v>0</v>
      </c>
      <c r="AE20" s="17">
        <f>IF(AE$6+'01_가정'!$F$101&lt;=36,INDEX($J$13:$AS$13,1,MIN(36,AE$6+'01_가정'!$F$101)),0)</f>
        <v>0</v>
      </c>
      <c r="AF20" s="17">
        <f>IF(AF$6+'01_가정'!$F$101&lt;=36,INDEX($J$13:$AS$13,1,MIN(36,AF$6+'01_가정'!$F$101)),0)</f>
        <v>18000000</v>
      </c>
      <c r="AG20" s="17">
        <f>IF(AG$6+'01_가정'!$F$101&lt;=36,INDEX($J$13:$AS$13,1,MIN(36,AG$6+'01_가정'!$F$101)),0)</f>
        <v>0</v>
      </c>
      <c r="AH20" s="17">
        <f>IF(AH$6+'01_가정'!$F$101&lt;=36,INDEX($J$13:$AS$13,1,MIN(36,AH$6+'01_가정'!$F$101)),0)</f>
        <v>0</v>
      </c>
      <c r="AI20" s="17">
        <f>IF(AI$6+'01_가정'!$F$101&lt;=36,INDEX($J$13:$AS$13,1,MIN(36,AI$6+'01_가정'!$F$101)),0)</f>
        <v>18000000</v>
      </c>
      <c r="AJ20" s="17">
        <f>IF(AJ$6+'01_가정'!$F$101&lt;=36,INDEX($J$13:$AS$13,1,MIN(36,AJ$6+'01_가정'!$F$101)),0)</f>
        <v>0</v>
      </c>
      <c r="AK20" s="17">
        <f>IF(AK$6+'01_가정'!$F$101&lt;=36,INDEX($J$13:$AS$13,1,MIN(36,AK$6+'01_가정'!$F$101)),0)</f>
        <v>0</v>
      </c>
      <c r="AL20" s="17">
        <f>IF(AL$6+'01_가정'!$F$101&lt;=36,INDEX($J$13:$AS$13,1,MIN(36,AL$6+'01_가정'!$F$101)),0)</f>
        <v>36000000</v>
      </c>
      <c r="AM20" s="17">
        <f>IF(AM$6+'01_가정'!$F$101&lt;=36,INDEX($J$13:$AS$13,1,MIN(36,AM$6+'01_가정'!$F$101)),0)</f>
        <v>0</v>
      </c>
      <c r="AN20" s="17">
        <f>IF(AN$6+'01_가정'!$F$101&lt;=36,INDEX($J$13:$AS$13,1,MIN(36,AN$6+'01_가정'!$F$101)),0)</f>
        <v>0</v>
      </c>
      <c r="AO20" s="17">
        <f>IF(AO$6+'01_가정'!$F$101&lt;=36,INDEX($J$13:$AS$13,1,MIN(36,AO$6+'01_가정'!$F$101)),0)</f>
        <v>18000000</v>
      </c>
      <c r="AP20" s="17">
        <f>IF(AP$6+'01_가정'!$F$101&lt;=36,INDEX($J$13:$AS$13,1,MIN(36,AP$6+'01_가정'!$F$101)),0)</f>
        <v>0</v>
      </c>
      <c r="AQ20" s="17">
        <f>IF(AQ$6+'01_가정'!$F$101&lt;=36,INDEX($J$13:$AS$13,1,MIN(36,AQ$6+'01_가정'!$F$101)),0)</f>
        <v>0</v>
      </c>
      <c r="AR20" s="17">
        <f>IF(AR$6+'01_가정'!$F$101&lt;=36,INDEX($J$13:$AS$13,1,MIN(36,AR$6+'01_가정'!$F$101)),0)</f>
        <v>0</v>
      </c>
      <c r="AS20" s="17">
        <f>IF(AS$6+'01_가정'!$F$101&lt;=36,INDEX($J$13:$AS$13,1,MIN(36,AS$6+'01_가정'!$F$101)),0)</f>
        <v>0</v>
      </c>
    </row>
    <row r="21" spans="1:45" ht="22.95" customHeight="1">
      <c r="A21" s="1"/>
      <c r="B21" s="1"/>
      <c r="C21" s="1" t="s">
        <v>268</v>
      </c>
      <c r="D21" s="1" t="s">
        <v>11</v>
      </c>
      <c r="E21" s="1"/>
      <c r="F21" s="19">
        <f>SUM(J21:U21)</f>
        <v>22275000</v>
      </c>
      <c r="G21" s="19">
        <f>SUM(V21:AG21)</f>
        <v>31350000</v>
      </c>
      <c r="H21" s="19">
        <f>SUM(AH21:AS21)</f>
        <v>39600000</v>
      </c>
      <c r="I21" s="1"/>
      <c r="J21" s="17">
        <f>J20*'01_가정'!$F$102*(1+'01_가정'!$F$85)</f>
        <v>0</v>
      </c>
      <c r="K21" s="17">
        <f>K20*'01_가정'!$F$102*(1+'01_가정'!$F$85)</f>
        <v>0</v>
      </c>
      <c r="L21" s="17">
        <f>L20*'01_가정'!$F$102*(1+'01_가정'!$F$85)</f>
        <v>0</v>
      </c>
      <c r="M21" s="17">
        <f>M20*'01_가정'!$F$102*(1+'01_가정'!$F$85)</f>
        <v>0</v>
      </c>
      <c r="N21" s="17">
        <f>N20*'01_가정'!$F$102*(1+'01_가정'!$F$85)</f>
        <v>0</v>
      </c>
      <c r="O21" s="17">
        <f>O20*'01_가정'!$F$102*(1+'01_가정'!$F$85)</f>
        <v>0</v>
      </c>
      <c r="P21" s="17">
        <f>P20*'01_가정'!$F$102*(1+'01_가정'!$F$85)</f>
        <v>0</v>
      </c>
      <c r="Q21" s="17">
        <f>Q20*'01_가정'!$F$102*(1+'01_가정'!$F$85)</f>
        <v>11550000.000000002</v>
      </c>
      <c r="R21" s="17">
        <f>R20*'01_가정'!$F$102*(1+'01_가정'!$F$85)</f>
        <v>0</v>
      </c>
      <c r="S21" s="17">
        <f>S20*'01_가정'!$F$102*(1+'01_가정'!$F$85)</f>
        <v>0</v>
      </c>
      <c r="T21" s="17">
        <f>T20*'01_가정'!$F$102*(1+'01_가정'!$F$85)</f>
        <v>10725000</v>
      </c>
      <c r="U21" s="17">
        <f>U20*'01_가정'!$F$102*(1+'01_가정'!$F$85)</f>
        <v>0</v>
      </c>
      <c r="V21" s="17">
        <f>V20*'01_가정'!$F$102*(1+'01_가정'!$F$85)</f>
        <v>0</v>
      </c>
      <c r="W21" s="17">
        <f>W20*'01_가정'!$F$102*(1+'01_가정'!$F$85)</f>
        <v>0</v>
      </c>
      <c r="X21" s="17">
        <f>X20*'01_가정'!$F$102*(1+'01_가정'!$F$85)</f>
        <v>0</v>
      </c>
      <c r="Y21" s="17">
        <f>Y20*'01_가정'!$F$102*(1+'01_가정'!$F$85)</f>
        <v>0</v>
      </c>
      <c r="Z21" s="17">
        <f>Z20*'01_가정'!$F$102*(1+'01_가정'!$F$85)</f>
        <v>10725000</v>
      </c>
      <c r="AA21" s="17">
        <f>AA20*'01_가정'!$F$102*(1+'01_가정'!$F$85)</f>
        <v>0</v>
      </c>
      <c r="AB21" s="17">
        <f>AB20*'01_가정'!$F$102*(1+'01_가정'!$F$85)</f>
        <v>0</v>
      </c>
      <c r="AC21" s="17">
        <f>AC20*'01_가정'!$F$102*(1+'01_가정'!$F$85)</f>
        <v>10725000</v>
      </c>
      <c r="AD21" s="17">
        <f>AD20*'01_가정'!$F$102*(1+'01_가정'!$F$85)</f>
        <v>0</v>
      </c>
      <c r="AE21" s="17">
        <f>AE20*'01_가정'!$F$102*(1+'01_가정'!$F$85)</f>
        <v>0</v>
      </c>
      <c r="AF21" s="17">
        <f>AF20*'01_가정'!$F$102*(1+'01_가정'!$F$85)</f>
        <v>9900000</v>
      </c>
      <c r="AG21" s="17">
        <f>AG20*'01_가정'!$F$102*(1+'01_가정'!$F$85)</f>
        <v>0</v>
      </c>
      <c r="AH21" s="17">
        <f>AH20*'01_가정'!$F$102*(1+'01_가정'!$F$85)</f>
        <v>0</v>
      </c>
      <c r="AI21" s="17">
        <f>AI20*'01_가정'!$F$102*(1+'01_가정'!$F$85)</f>
        <v>9900000</v>
      </c>
      <c r="AJ21" s="17">
        <f>AJ20*'01_가정'!$F$102*(1+'01_가정'!$F$85)</f>
        <v>0</v>
      </c>
      <c r="AK21" s="17">
        <f>AK20*'01_가정'!$F$102*(1+'01_가정'!$F$85)</f>
        <v>0</v>
      </c>
      <c r="AL21" s="17">
        <f>AL20*'01_가정'!$F$102*(1+'01_가정'!$F$85)</f>
        <v>19800000</v>
      </c>
      <c r="AM21" s="17">
        <f>AM20*'01_가정'!$F$102*(1+'01_가정'!$F$85)</f>
        <v>0</v>
      </c>
      <c r="AN21" s="17">
        <f>AN20*'01_가정'!$F$102*(1+'01_가정'!$F$85)</f>
        <v>0</v>
      </c>
      <c r="AO21" s="17">
        <f>AO20*'01_가정'!$F$102*(1+'01_가정'!$F$85)</f>
        <v>9900000</v>
      </c>
      <c r="AP21" s="17">
        <f>AP20*'01_가정'!$F$102*(1+'01_가정'!$F$85)</f>
        <v>0</v>
      </c>
      <c r="AQ21" s="17">
        <f>AQ20*'01_가정'!$F$102*(1+'01_가정'!$F$85)</f>
        <v>0</v>
      </c>
      <c r="AR21" s="17">
        <f>AR20*'01_가정'!$F$102*(1+'01_가정'!$F$85)</f>
        <v>0</v>
      </c>
      <c r="AS21" s="17">
        <f>AS20*'01_가정'!$F$102*(1+'01_가정'!$F$85)</f>
        <v>0</v>
      </c>
    </row>
    <row r="22" spans="1:45" ht="22.95" customHeight="1">
      <c r="A22" s="1"/>
      <c r="B22" s="1"/>
      <c r="C22" s="1" t="s">
        <v>269</v>
      </c>
      <c r="D22" s="1" t="s">
        <v>11</v>
      </c>
      <c r="E22" s="1"/>
      <c r="F22" s="19">
        <f>SUM(J22:U22)</f>
        <v>11550000.000000002</v>
      </c>
      <c r="G22" s="19">
        <f>SUM(V22:AG22)</f>
        <v>32175000</v>
      </c>
      <c r="H22" s="19">
        <f>SUM(AH22:AS22)</f>
        <v>49500000</v>
      </c>
      <c r="I22" s="1"/>
      <c r="J22" s="17">
        <f>J13*(1-'01_가정'!$F$102)*(1+'01_가정'!$F$85)</f>
        <v>0</v>
      </c>
      <c r="K22" s="17">
        <f>K13*(1-'01_가정'!$F$102)*(1+'01_가정'!$F$85)</f>
        <v>0</v>
      </c>
      <c r="L22" s="17">
        <f>L13*(1-'01_가정'!$F$102)*(1+'01_가정'!$F$85)</f>
        <v>0</v>
      </c>
      <c r="M22" s="17">
        <f>M13*(1-'01_가정'!$F$102)*(1+'01_가정'!$F$85)</f>
        <v>0</v>
      </c>
      <c r="N22" s="17">
        <f>N13*(1-'01_가정'!$F$102)*(1+'01_가정'!$F$85)</f>
        <v>0</v>
      </c>
      <c r="O22" s="17">
        <f>O13*(1-'01_가정'!$F$102)*(1+'01_가정'!$F$85)</f>
        <v>0</v>
      </c>
      <c r="P22" s="17">
        <f>P13*(1-'01_가정'!$F$102)*(1+'01_가정'!$F$85)</f>
        <v>0</v>
      </c>
      <c r="Q22" s="17">
        <f>Q13*(1-'01_가정'!$F$102)*(1+'01_가정'!$F$85)</f>
        <v>0</v>
      </c>
      <c r="R22" s="17">
        <f>R13*(1-'01_가정'!$F$102)*(1+'01_가정'!$F$85)</f>
        <v>0</v>
      </c>
      <c r="S22" s="17">
        <f>S13*(1-'01_가정'!$F$102)*(1+'01_가정'!$F$85)</f>
        <v>11550000.000000002</v>
      </c>
      <c r="T22" s="17">
        <f>T13*(1-'01_가정'!$F$102)*(1+'01_가정'!$F$85)</f>
        <v>0</v>
      </c>
      <c r="U22" s="17">
        <f>U13*(1-'01_가정'!$F$102)*(1+'01_가정'!$F$85)</f>
        <v>0</v>
      </c>
      <c r="V22" s="17">
        <f>V13*(1-'01_가정'!$F$102)*(1+'01_가정'!$F$85)</f>
        <v>10725000</v>
      </c>
      <c r="W22" s="17">
        <f>W13*(1-'01_가정'!$F$102)*(1+'01_가정'!$F$85)</f>
        <v>0</v>
      </c>
      <c r="X22" s="17">
        <f>X13*(1-'01_가정'!$F$102)*(1+'01_가정'!$F$85)</f>
        <v>0</v>
      </c>
      <c r="Y22" s="17">
        <f>Y13*(1-'01_가정'!$F$102)*(1+'01_가정'!$F$85)</f>
        <v>0</v>
      </c>
      <c r="Z22" s="17">
        <f>Z13*(1-'01_가정'!$F$102)*(1+'01_가정'!$F$85)</f>
        <v>0</v>
      </c>
      <c r="AA22" s="17">
        <f>AA13*(1-'01_가정'!$F$102)*(1+'01_가정'!$F$85)</f>
        <v>0</v>
      </c>
      <c r="AB22" s="17">
        <f>AB13*(1-'01_가정'!$F$102)*(1+'01_가정'!$F$85)</f>
        <v>10725000</v>
      </c>
      <c r="AC22" s="17">
        <f>AC13*(1-'01_가정'!$F$102)*(1+'01_가정'!$F$85)</f>
        <v>0</v>
      </c>
      <c r="AD22" s="17">
        <f>AD13*(1-'01_가정'!$F$102)*(1+'01_가정'!$F$85)</f>
        <v>0</v>
      </c>
      <c r="AE22" s="17">
        <f>AE13*(1-'01_가정'!$F$102)*(1+'01_가정'!$F$85)</f>
        <v>10725000</v>
      </c>
      <c r="AF22" s="17">
        <f>AF13*(1-'01_가정'!$F$102)*(1+'01_가정'!$F$85)</f>
        <v>0</v>
      </c>
      <c r="AG22" s="17">
        <f>AG13*(1-'01_가정'!$F$102)*(1+'01_가정'!$F$85)</f>
        <v>0</v>
      </c>
      <c r="AH22" s="17">
        <f>AH13*(1-'01_가정'!$F$102)*(1+'01_가정'!$F$85)</f>
        <v>9900000</v>
      </c>
      <c r="AI22" s="17">
        <f>AI13*(1-'01_가정'!$F$102)*(1+'01_가정'!$F$85)</f>
        <v>0</v>
      </c>
      <c r="AJ22" s="17">
        <f>AJ13*(1-'01_가정'!$F$102)*(1+'01_가정'!$F$85)</f>
        <v>0</v>
      </c>
      <c r="AK22" s="17">
        <f>AK13*(1-'01_가정'!$F$102)*(1+'01_가정'!$F$85)</f>
        <v>9900000</v>
      </c>
      <c r="AL22" s="17">
        <f>AL13*(1-'01_가정'!$F$102)*(1+'01_가정'!$F$85)</f>
        <v>0</v>
      </c>
      <c r="AM22" s="17">
        <f>AM13*(1-'01_가정'!$F$102)*(1+'01_가정'!$F$85)</f>
        <v>0</v>
      </c>
      <c r="AN22" s="17">
        <f>AN13*(1-'01_가정'!$F$102)*(1+'01_가정'!$F$85)</f>
        <v>19800000</v>
      </c>
      <c r="AO22" s="17">
        <f>AO13*(1-'01_가정'!$F$102)*(1+'01_가정'!$F$85)</f>
        <v>0</v>
      </c>
      <c r="AP22" s="17">
        <f>AP13*(1-'01_가정'!$F$102)*(1+'01_가정'!$F$85)</f>
        <v>0</v>
      </c>
      <c r="AQ22" s="17">
        <f>AQ13*(1-'01_가정'!$F$102)*(1+'01_가정'!$F$85)</f>
        <v>9900000</v>
      </c>
      <c r="AR22" s="17">
        <f>AR13*(1-'01_가정'!$F$102)*(1+'01_가정'!$F$85)</f>
        <v>0</v>
      </c>
      <c r="AS22" s="17">
        <f>AS13*(1-'01_가정'!$F$102)*(1+'01_가정'!$F$85)</f>
        <v>0</v>
      </c>
    </row>
    <row r="23" spans="1:45" ht="22.95" customHeight="1">
      <c r="A23" s="1"/>
      <c r="B23" s="1"/>
      <c r="C23" s="8" t="s">
        <v>270</v>
      </c>
      <c r="D23" s="8" t="s">
        <v>11</v>
      </c>
      <c r="E23" s="8"/>
      <c r="F23" s="9">
        <f>SUM(J23:U23)</f>
        <v>33825000</v>
      </c>
      <c r="G23" s="9">
        <f>SUM(V23:AG23)</f>
        <v>63525000</v>
      </c>
      <c r="H23" s="9">
        <f>SUM(AH23:AS23)</f>
        <v>89100000</v>
      </c>
      <c r="I23" s="8"/>
      <c r="J23" s="9">
        <f t="shared" ref="J23:AS23" si="7">SUM(J21:J22)</f>
        <v>0</v>
      </c>
      <c r="K23" s="9">
        <f t="shared" si="7"/>
        <v>0</v>
      </c>
      <c r="L23" s="9">
        <f t="shared" si="7"/>
        <v>0</v>
      </c>
      <c r="M23" s="9">
        <f t="shared" si="7"/>
        <v>0</v>
      </c>
      <c r="N23" s="9">
        <f t="shared" si="7"/>
        <v>0</v>
      </c>
      <c r="O23" s="9">
        <f t="shared" si="7"/>
        <v>0</v>
      </c>
      <c r="P23" s="9">
        <f t="shared" si="7"/>
        <v>0</v>
      </c>
      <c r="Q23" s="9">
        <f t="shared" si="7"/>
        <v>11550000.000000002</v>
      </c>
      <c r="R23" s="9">
        <f t="shared" si="7"/>
        <v>0</v>
      </c>
      <c r="S23" s="9">
        <f t="shared" si="7"/>
        <v>11550000.000000002</v>
      </c>
      <c r="T23" s="9">
        <f t="shared" si="7"/>
        <v>10725000</v>
      </c>
      <c r="U23" s="9">
        <f t="shared" si="7"/>
        <v>0</v>
      </c>
      <c r="V23" s="9">
        <f t="shared" si="7"/>
        <v>10725000</v>
      </c>
      <c r="W23" s="9">
        <f t="shared" si="7"/>
        <v>0</v>
      </c>
      <c r="X23" s="9">
        <f t="shared" si="7"/>
        <v>0</v>
      </c>
      <c r="Y23" s="9">
        <f t="shared" si="7"/>
        <v>0</v>
      </c>
      <c r="Z23" s="9">
        <f t="shared" si="7"/>
        <v>10725000</v>
      </c>
      <c r="AA23" s="9">
        <f t="shared" si="7"/>
        <v>0</v>
      </c>
      <c r="AB23" s="9">
        <f t="shared" si="7"/>
        <v>10725000</v>
      </c>
      <c r="AC23" s="9">
        <f t="shared" si="7"/>
        <v>10725000</v>
      </c>
      <c r="AD23" s="9">
        <f t="shared" si="7"/>
        <v>0</v>
      </c>
      <c r="AE23" s="9">
        <f t="shared" si="7"/>
        <v>10725000</v>
      </c>
      <c r="AF23" s="9">
        <f t="shared" si="7"/>
        <v>9900000</v>
      </c>
      <c r="AG23" s="9">
        <f t="shared" si="7"/>
        <v>0</v>
      </c>
      <c r="AH23" s="9">
        <f t="shared" si="7"/>
        <v>9900000</v>
      </c>
      <c r="AI23" s="9">
        <f t="shared" si="7"/>
        <v>9900000</v>
      </c>
      <c r="AJ23" s="9">
        <f t="shared" si="7"/>
        <v>0</v>
      </c>
      <c r="AK23" s="9">
        <f t="shared" si="7"/>
        <v>9900000</v>
      </c>
      <c r="AL23" s="9">
        <f t="shared" si="7"/>
        <v>19800000</v>
      </c>
      <c r="AM23" s="9">
        <f t="shared" si="7"/>
        <v>0</v>
      </c>
      <c r="AN23" s="9">
        <f t="shared" si="7"/>
        <v>19800000</v>
      </c>
      <c r="AO23" s="9">
        <f t="shared" si="7"/>
        <v>9900000</v>
      </c>
      <c r="AP23" s="9">
        <f t="shared" si="7"/>
        <v>0</v>
      </c>
      <c r="AQ23" s="9">
        <f t="shared" si="7"/>
        <v>9900000</v>
      </c>
      <c r="AR23" s="9">
        <f t="shared" si="7"/>
        <v>0</v>
      </c>
      <c r="AS23" s="9">
        <f t="shared" si="7"/>
        <v>0</v>
      </c>
    </row>
    <row r="24" spans="1:45" ht="22.95" customHeight="1">
      <c r="A24" s="1"/>
      <c r="B24" s="1"/>
      <c r="C24" s="1" t="s">
        <v>271</v>
      </c>
      <c r="D24" s="1" t="s">
        <v>11</v>
      </c>
      <c r="E24" s="1"/>
      <c r="F24" s="19">
        <f>U24</f>
        <v>10725000</v>
      </c>
      <c r="G24" s="19">
        <f>AG24</f>
        <v>9900000</v>
      </c>
      <c r="H24" s="19">
        <f>AS24</f>
        <v>0</v>
      </c>
      <c r="I24" s="1"/>
      <c r="J24" s="17">
        <f>0+J21-J13*'01_가정'!$F$102*(1+'01_가정'!$F$85)</f>
        <v>0</v>
      </c>
      <c r="K24" s="17">
        <f>J24+K21-K13*'01_가정'!$F$102*(1+'01_가정'!$F$85)</f>
        <v>0</v>
      </c>
      <c r="L24" s="17">
        <f>K24+L21-L13*'01_가정'!$F$102*(1+'01_가정'!$F$85)</f>
        <v>0</v>
      </c>
      <c r="M24" s="17">
        <f>L24+M21-M13*'01_가정'!$F$102*(1+'01_가정'!$F$85)</f>
        <v>0</v>
      </c>
      <c r="N24" s="17">
        <f>M24+N21-N13*'01_가정'!$F$102*(1+'01_가정'!$F$85)</f>
        <v>0</v>
      </c>
      <c r="O24" s="17">
        <f>N24+O21-O13*'01_가정'!$F$102*(1+'01_가정'!$F$85)</f>
        <v>0</v>
      </c>
      <c r="P24" s="17">
        <f>O24+P21-P13*'01_가정'!$F$102*(1+'01_가정'!$F$85)</f>
        <v>0</v>
      </c>
      <c r="Q24" s="17">
        <f>P24+Q21-Q13*'01_가정'!$F$102*(1+'01_가정'!$F$85)</f>
        <v>11550000.000000002</v>
      </c>
      <c r="R24" s="17">
        <f>Q24+R21-R13*'01_가정'!$F$102*(1+'01_가정'!$F$85)</f>
        <v>11550000.000000002</v>
      </c>
      <c r="S24" s="17">
        <f>R24+S21-S13*'01_가정'!$F$102*(1+'01_가정'!$F$85)</f>
        <v>0</v>
      </c>
      <c r="T24" s="17">
        <f>S24+T21-T13*'01_가정'!$F$102*(1+'01_가정'!$F$85)</f>
        <v>10725000</v>
      </c>
      <c r="U24" s="17">
        <f>T24+U21-U13*'01_가정'!$F$102*(1+'01_가정'!$F$85)</f>
        <v>10725000</v>
      </c>
      <c r="V24" s="17">
        <f>U24+V21-V13*'01_가정'!$F$102*(1+'01_가정'!$F$85)</f>
        <v>0</v>
      </c>
      <c r="W24" s="17">
        <f>V24+W21-W13*'01_가정'!$F$102*(1+'01_가정'!$F$85)</f>
        <v>0</v>
      </c>
      <c r="X24" s="17">
        <f>W24+X21-X13*'01_가정'!$F$102*(1+'01_가정'!$F$85)</f>
        <v>0</v>
      </c>
      <c r="Y24" s="17">
        <f>X24+Y21-Y13*'01_가정'!$F$102*(1+'01_가정'!$F$85)</f>
        <v>0</v>
      </c>
      <c r="Z24" s="17">
        <f>Y24+Z21-Z13*'01_가정'!$F$102*(1+'01_가정'!$F$85)</f>
        <v>10725000</v>
      </c>
      <c r="AA24" s="17">
        <f>Z24+AA21-AA13*'01_가정'!$F$102*(1+'01_가정'!$F$85)</f>
        <v>10725000</v>
      </c>
      <c r="AB24" s="17">
        <f>AA24+AB21-AB13*'01_가정'!$F$102*(1+'01_가정'!$F$85)</f>
        <v>0</v>
      </c>
      <c r="AC24" s="17">
        <f>AB24+AC21-AC13*'01_가정'!$F$102*(1+'01_가정'!$F$85)</f>
        <v>10725000</v>
      </c>
      <c r="AD24" s="17">
        <f>AC24+AD21-AD13*'01_가정'!$F$102*(1+'01_가정'!$F$85)</f>
        <v>10725000</v>
      </c>
      <c r="AE24" s="17">
        <f>AD24+AE21-AE13*'01_가정'!$F$102*(1+'01_가정'!$F$85)</f>
        <v>0</v>
      </c>
      <c r="AF24" s="17">
        <f>AE24+AF21-AF13*'01_가정'!$F$102*(1+'01_가정'!$F$85)</f>
        <v>9900000</v>
      </c>
      <c r="AG24" s="17">
        <f>AF24+AG21-AG13*'01_가정'!$F$102*(1+'01_가정'!$F$85)</f>
        <v>9900000</v>
      </c>
      <c r="AH24" s="17">
        <f>AG24+AH21-AH13*'01_가정'!$F$102*(1+'01_가정'!$F$85)</f>
        <v>0</v>
      </c>
      <c r="AI24" s="17">
        <f>AH24+AI21-AI13*'01_가정'!$F$102*(1+'01_가정'!$F$85)</f>
        <v>9900000</v>
      </c>
      <c r="AJ24" s="17">
        <f>AI24+AJ21-AJ13*'01_가정'!$F$102*(1+'01_가정'!$F$85)</f>
        <v>9900000</v>
      </c>
      <c r="AK24" s="17">
        <f>AJ24+AK21-AK13*'01_가정'!$F$102*(1+'01_가정'!$F$85)</f>
        <v>0</v>
      </c>
      <c r="AL24" s="17">
        <f>AK24+AL21-AL13*'01_가정'!$F$102*(1+'01_가정'!$F$85)</f>
        <v>19800000</v>
      </c>
      <c r="AM24" s="17">
        <f>AL24+AM21-AM13*'01_가정'!$F$102*(1+'01_가정'!$F$85)</f>
        <v>19800000</v>
      </c>
      <c r="AN24" s="17">
        <f>AM24+AN21-AN13*'01_가정'!$F$102*(1+'01_가정'!$F$85)</f>
        <v>0</v>
      </c>
      <c r="AO24" s="17">
        <f>AN24+AO21-AO13*'01_가정'!$F$102*(1+'01_가정'!$F$85)</f>
        <v>9900000</v>
      </c>
      <c r="AP24" s="17">
        <f>AO24+AP21-AP13*'01_가정'!$F$102*(1+'01_가정'!$F$85)</f>
        <v>9900000</v>
      </c>
      <c r="AQ24" s="17">
        <f>AP24+AQ21-AQ13*'01_가정'!$F$102*(1+'01_가정'!$F$85)</f>
        <v>0</v>
      </c>
      <c r="AR24" s="17">
        <f>AQ24+AR21-AR13*'01_가정'!$F$102*(1+'01_가정'!$F$85)</f>
        <v>0</v>
      </c>
      <c r="AS24" s="17">
        <f>AR24+AS21-AS13*'01_가정'!$F$102*(1+'01_가정'!$F$85)</f>
        <v>0</v>
      </c>
    </row>
    <row r="25" spans="1:45" ht="22.95" customHeight="1">
      <c r="A25" s="1"/>
      <c r="B25" s="1"/>
      <c r="C25" s="1" t="s">
        <v>272</v>
      </c>
      <c r="D25" s="1" t="s">
        <v>11</v>
      </c>
      <c r="E25" s="1"/>
      <c r="F25" s="19">
        <f>U25</f>
        <v>0</v>
      </c>
      <c r="G25" s="19">
        <f>AG25</f>
        <v>0</v>
      </c>
      <c r="H25" s="19">
        <f>AS25</f>
        <v>0</v>
      </c>
      <c r="I25" s="1"/>
      <c r="J25" s="17">
        <f>0+'03_월별손익'!J31*(1+'01_가정'!$F$85)-J27</f>
        <v>0</v>
      </c>
      <c r="K25" s="17">
        <f>J25+'03_월별손익'!K31*(1+'01_가정'!$F$85)-K27</f>
        <v>0</v>
      </c>
      <c r="L25" s="17">
        <f>K25+'03_월별손익'!L31*(1+'01_가정'!$F$85)-L27</f>
        <v>0</v>
      </c>
      <c r="M25" s="17">
        <f>L25+'03_월별손익'!M31*(1+'01_가정'!$F$85)-M27</f>
        <v>0</v>
      </c>
      <c r="N25" s="17">
        <f>M25+'03_월별손익'!N31*(1+'01_가정'!$F$85)-N27</f>
        <v>0</v>
      </c>
      <c r="O25" s="17">
        <f>N25+'03_월별손익'!O31*(1+'01_가정'!$F$85)-O27</f>
        <v>0</v>
      </c>
      <c r="P25" s="17">
        <f>O25+'03_월별손익'!P31*(1+'01_가정'!$F$85)-P27</f>
        <v>0</v>
      </c>
      <c r="Q25" s="17">
        <f>P25+'03_월별손익'!Q31*(1+'01_가정'!$F$85)-Q27</f>
        <v>0</v>
      </c>
      <c r="R25" s="17">
        <f>Q25+'03_월별손익'!R31*(1+'01_가정'!$F$85)-R27</f>
        <v>0</v>
      </c>
      <c r="S25" s="17">
        <f>R25+'03_월별손익'!S31*(1+'01_가정'!$F$85)-S27</f>
        <v>0</v>
      </c>
      <c r="T25" s="17">
        <f>S25+'03_월별손익'!T31*(1+'01_가정'!$F$85)-T27</f>
        <v>0</v>
      </c>
      <c r="U25" s="17">
        <f>T25+'03_월별손익'!U31*(1+'01_가정'!$F$85)-U27</f>
        <v>0</v>
      </c>
      <c r="V25" s="17">
        <f>U25+'03_월별손익'!V31*(1+'01_가정'!$F$85)-V27</f>
        <v>0</v>
      </c>
      <c r="W25" s="17">
        <f>V25+'03_월별손익'!W31*(1+'01_가정'!$F$85)-W27</f>
        <v>0</v>
      </c>
      <c r="X25" s="17">
        <f>W25+'03_월별손익'!X31*(1+'01_가정'!$F$85)-X27</f>
        <v>0</v>
      </c>
      <c r="Y25" s="17">
        <f>X25+'03_월별손익'!Y31*(1+'01_가정'!$F$85)-Y27</f>
        <v>0</v>
      </c>
      <c r="Z25" s="17">
        <f>Y25+'03_월별손익'!Z31*(1+'01_가정'!$F$85)-Z27</f>
        <v>0</v>
      </c>
      <c r="AA25" s="17">
        <f>Z25+'03_월별손익'!AA31*(1+'01_가정'!$F$85)-AA27</f>
        <v>0</v>
      </c>
      <c r="AB25" s="17">
        <f>AA25+'03_월별손익'!AB31*(1+'01_가정'!$F$85)-AB27</f>
        <v>0</v>
      </c>
      <c r="AC25" s="17">
        <f>AB25+'03_월별손익'!AC31*(1+'01_가정'!$F$85)-AC27</f>
        <v>0</v>
      </c>
      <c r="AD25" s="17">
        <f>AC25+'03_월별손익'!AD31*(1+'01_가정'!$F$85)-AD27</f>
        <v>0</v>
      </c>
      <c r="AE25" s="17">
        <f>AD25+'03_월별손익'!AE31*(1+'01_가정'!$F$85)-AE27</f>
        <v>0</v>
      </c>
      <c r="AF25" s="17">
        <f>AE25+'03_월별손익'!AF31*(1+'01_가정'!$F$85)-AF27</f>
        <v>0</v>
      </c>
      <c r="AG25" s="17">
        <f>AF25+'03_월별손익'!AG31*(1+'01_가정'!$F$85)-AG27</f>
        <v>0</v>
      </c>
      <c r="AH25" s="17">
        <f>AG25+'03_월별손익'!AH31*(1+'01_가정'!$F$85)-AH27</f>
        <v>0</v>
      </c>
      <c r="AI25" s="17">
        <f>AH25+'03_월별손익'!AI31*(1+'01_가정'!$F$85)-AI27</f>
        <v>0</v>
      </c>
      <c r="AJ25" s="17">
        <f>AI25+'03_월별손익'!AJ31*(1+'01_가정'!$F$85)-AJ27</f>
        <v>0</v>
      </c>
      <c r="AK25" s="17">
        <f>AJ25+'03_월별손익'!AK31*(1+'01_가정'!$F$85)-AK27</f>
        <v>0</v>
      </c>
      <c r="AL25" s="17">
        <f>AK25+'03_월별손익'!AL31*(1+'01_가정'!$F$85)-AL27</f>
        <v>0</v>
      </c>
      <c r="AM25" s="17">
        <f>AL25+'03_월별손익'!AM31*(1+'01_가정'!$F$85)-AM27</f>
        <v>0</v>
      </c>
      <c r="AN25" s="17">
        <f>AM25+'03_월별손익'!AN31*(1+'01_가정'!$F$85)-AN27</f>
        <v>0</v>
      </c>
      <c r="AO25" s="17">
        <f>AN25+'03_월별손익'!AO31*(1+'01_가정'!$F$85)-AO27</f>
        <v>0</v>
      </c>
      <c r="AP25" s="17">
        <f>AO25+'03_월별손익'!AP31*(1+'01_가정'!$F$85)-AP27</f>
        <v>0</v>
      </c>
      <c r="AQ25" s="17">
        <f>AP25+'03_월별손익'!AQ31*(1+'01_가정'!$F$85)-AQ27</f>
        <v>0</v>
      </c>
      <c r="AR25" s="17">
        <f>AQ25+'03_월별손익'!AR31*(1+'01_가정'!$F$85)-AR27</f>
        <v>0</v>
      </c>
      <c r="AS25" s="17">
        <f>AR25+'03_월별손익'!AS31*(1+'01_가정'!$F$85)-AS27</f>
        <v>0</v>
      </c>
    </row>
    <row r="26" spans="1:45" ht="22.95" customHeight="1">
      <c r="A26" s="1"/>
      <c r="B26" s="1"/>
      <c r="C26" s="1" t="s">
        <v>273</v>
      </c>
      <c r="D26" s="1" t="s">
        <v>11</v>
      </c>
      <c r="E26" s="1"/>
      <c r="F26" s="19">
        <f t="shared" ref="F26:F35" si="8">SUM(J26:U26)</f>
        <v>6140400</v>
      </c>
      <c r="G26" s="19">
        <f t="shared" ref="G26:G35" si="9">SUM(V26:AG26)</f>
        <v>91270080</v>
      </c>
      <c r="H26" s="19">
        <f t="shared" ref="H26:H35" si="10">SUM(AH26:AS26)</f>
        <v>195048000</v>
      </c>
      <c r="I26" s="1"/>
      <c r="J26" s="17">
        <f>'03_월별손익'!J30*(1+'01_가정'!$F$85)</f>
        <v>0</v>
      </c>
      <c r="K26" s="17">
        <f>'03_월별손익'!K30*(1+'01_가정'!$F$85)</f>
        <v>0</v>
      </c>
      <c r="L26" s="17">
        <f>'03_월별손익'!L30*(1+'01_가정'!$F$85)</f>
        <v>0</v>
      </c>
      <c r="M26" s="17">
        <f>'03_월별손익'!M30*(1+'01_가정'!$F$85)</f>
        <v>0</v>
      </c>
      <c r="N26" s="17">
        <f>'03_월별손익'!N30*(1+'01_가정'!$F$85)</f>
        <v>0</v>
      </c>
      <c r="O26" s="17">
        <f>'03_월별손익'!O30*(1+'01_가정'!$F$85)</f>
        <v>0</v>
      </c>
      <c r="P26" s="17">
        <f>'03_월별손익'!P30*(1+'01_가정'!$F$85)</f>
        <v>0</v>
      </c>
      <c r="Q26" s="17">
        <f>'03_월별손익'!Q30*(1+'01_가정'!$F$85)</f>
        <v>0</v>
      </c>
      <c r="R26" s="17">
        <f>'03_월별손익'!R30*(1+'01_가정'!$F$85)</f>
        <v>0</v>
      </c>
      <c r="S26" s="17">
        <f>'03_월별손익'!S30*(1+'01_가정'!$F$85)</f>
        <v>1315800</v>
      </c>
      <c r="T26" s="17">
        <f>'03_월별손익'!T30*(1+'01_가정'!$F$85)</f>
        <v>2083349.9999999998</v>
      </c>
      <c r="U26" s="17">
        <f>'03_월별손익'!U30*(1+'01_가정'!$F$85)</f>
        <v>2741249.9999999995</v>
      </c>
      <c r="V26" s="17">
        <f>'03_월별손익'!V30*(1+'01_가정'!$F$85)</f>
        <v>7605840</v>
      </c>
      <c r="W26" s="17">
        <f>'03_월별손익'!W30*(1+'01_가정'!$F$85)</f>
        <v>7605840</v>
      </c>
      <c r="X26" s="17">
        <f>'03_월별손익'!X30*(1+'01_가정'!$F$85)</f>
        <v>7605840</v>
      </c>
      <c r="Y26" s="17">
        <f>'03_월별손익'!Y30*(1+'01_가정'!$F$85)</f>
        <v>7605840</v>
      </c>
      <c r="Z26" s="17">
        <f>'03_월별손익'!Z30*(1+'01_가정'!$F$85)</f>
        <v>7605840</v>
      </c>
      <c r="AA26" s="17">
        <f>'03_월별손익'!AA30*(1+'01_가정'!$F$85)</f>
        <v>7605840</v>
      </c>
      <c r="AB26" s="17">
        <f>'03_월별손익'!AB30*(1+'01_가정'!$F$85)</f>
        <v>7605840</v>
      </c>
      <c r="AC26" s="17">
        <f>'03_월별손익'!AC30*(1+'01_가정'!$F$85)</f>
        <v>7605840</v>
      </c>
      <c r="AD26" s="17">
        <f>'03_월별손익'!AD30*(1+'01_가정'!$F$85)</f>
        <v>7605840</v>
      </c>
      <c r="AE26" s="17">
        <f>'03_월별손익'!AE30*(1+'01_가정'!$F$85)</f>
        <v>7605840</v>
      </c>
      <c r="AF26" s="17">
        <f>'03_월별손익'!AF30*(1+'01_가정'!$F$85)</f>
        <v>7605840</v>
      </c>
      <c r="AG26" s="17">
        <f>'03_월별손익'!AG30*(1+'01_가정'!$F$85)</f>
        <v>7605840</v>
      </c>
      <c r="AH26" s="17">
        <f>'03_월별손익'!AH30*(1+'01_가정'!$F$85)</f>
        <v>16254000</v>
      </c>
      <c r="AI26" s="17">
        <f>'03_월별손익'!AI30*(1+'01_가정'!$F$85)</f>
        <v>16254000</v>
      </c>
      <c r="AJ26" s="17">
        <f>'03_월별손익'!AJ30*(1+'01_가정'!$F$85)</f>
        <v>16254000</v>
      </c>
      <c r="AK26" s="17">
        <f>'03_월별손익'!AK30*(1+'01_가정'!$F$85)</f>
        <v>16254000</v>
      </c>
      <c r="AL26" s="17">
        <f>'03_월별손익'!AL30*(1+'01_가정'!$F$85)</f>
        <v>16254000</v>
      </c>
      <c r="AM26" s="17">
        <f>'03_월별손익'!AM30*(1+'01_가정'!$F$85)</f>
        <v>16254000</v>
      </c>
      <c r="AN26" s="17">
        <f>'03_월별손익'!AN30*(1+'01_가정'!$F$85)</f>
        <v>16254000</v>
      </c>
      <c r="AO26" s="17">
        <f>'03_월별손익'!AO30*(1+'01_가정'!$F$85)</f>
        <v>16254000</v>
      </c>
      <c r="AP26" s="17">
        <f>'03_월별손익'!AP30*(1+'01_가정'!$F$85)</f>
        <v>16254000</v>
      </c>
      <c r="AQ26" s="17">
        <f>'03_월별손익'!AQ30*(1+'01_가정'!$F$85)</f>
        <v>16254000</v>
      </c>
      <c r="AR26" s="17">
        <f>'03_월별손익'!AR30*(1+'01_가정'!$F$85)</f>
        <v>16254000</v>
      </c>
      <c r="AS26" s="17">
        <f>'03_월별손익'!AS30*(1+'01_가정'!$F$85)</f>
        <v>16254000</v>
      </c>
    </row>
    <row r="27" spans="1:45" ht="22.95" customHeight="1">
      <c r="A27" s="1"/>
      <c r="B27" s="1"/>
      <c r="C27" s="1" t="s">
        <v>274</v>
      </c>
      <c r="D27" s="1" t="s">
        <v>11</v>
      </c>
      <c r="E27" s="1"/>
      <c r="F27" s="19">
        <f t="shared" si="8"/>
        <v>0</v>
      </c>
      <c r="G27" s="19">
        <f t="shared" si="9"/>
        <v>0</v>
      </c>
      <c r="H27" s="19">
        <f t="shared" si="10"/>
        <v>0</v>
      </c>
      <c r="I27" s="1"/>
      <c r="J27" s="17">
        <f>IF(J$6&gt;'01_가정'!$F$96,INDEX('03_월별손익'!$J$31:$AS$31,1,MAX(1,J$6-'01_가정'!$F$96))*(1+'01_가정'!$F$85),0)</f>
        <v>0</v>
      </c>
      <c r="K27" s="17">
        <f>IF(K$6&gt;'01_가정'!$F$96,INDEX('03_월별손익'!$J$31:$AS$31,1,MAX(1,K$6-'01_가정'!$F$96))*(1+'01_가정'!$F$85),0)</f>
        <v>0</v>
      </c>
      <c r="L27" s="17">
        <f>IF(L$6&gt;'01_가정'!$F$96,INDEX('03_월별손익'!$J$31:$AS$31,1,MAX(1,L$6-'01_가정'!$F$96))*(1+'01_가정'!$F$85),0)</f>
        <v>0</v>
      </c>
      <c r="M27" s="17">
        <f>IF(M$6&gt;'01_가정'!$F$96,INDEX('03_월별손익'!$J$31:$AS$31,1,MAX(1,M$6-'01_가정'!$F$96))*(1+'01_가정'!$F$85),0)</f>
        <v>0</v>
      </c>
      <c r="N27" s="17">
        <f>IF(N$6&gt;'01_가정'!$F$96,INDEX('03_월별손익'!$J$31:$AS$31,1,MAX(1,N$6-'01_가정'!$F$96))*(1+'01_가정'!$F$85),0)</f>
        <v>0</v>
      </c>
      <c r="O27" s="17">
        <f>IF(O$6&gt;'01_가정'!$F$96,INDEX('03_월별손익'!$J$31:$AS$31,1,MAX(1,O$6-'01_가정'!$F$96))*(1+'01_가정'!$F$85),0)</f>
        <v>0</v>
      </c>
      <c r="P27" s="17">
        <f>IF(P$6&gt;'01_가정'!$F$96,INDEX('03_월별손익'!$J$31:$AS$31,1,MAX(1,P$6-'01_가정'!$F$96))*(1+'01_가정'!$F$85),0)</f>
        <v>0</v>
      </c>
      <c r="Q27" s="17">
        <f>IF(Q$6&gt;'01_가정'!$F$96,INDEX('03_월별손익'!$J$31:$AS$31,1,MAX(1,Q$6-'01_가정'!$F$96))*(1+'01_가정'!$F$85),0)</f>
        <v>0</v>
      </c>
      <c r="R27" s="17">
        <f>IF(R$6&gt;'01_가정'!$F$96,INDEX('03_월별손익'!$J$31:$AS$31,1,MAX(1,R$6-'01_가정'!$F$96))*(1+'01_가정'!$F$85),0)</f>
        <v>0</v>
      </c>
      <c r="S27" s="17">
        <f>IF(S$6&gt;'01_가정'!$F$96,INDEX('03_월별손익'!$J$31:$AS$31,1,MAX(1,S$6-'01_가정'!$F$96))*(1+'01_가정'!$F$85),0)</f>
        <v>0</v>
      </c>
      <c r="T27" s="17">
        <f>IF(T$6&gt;'01_가정'!$F$96,INDEX('03_월별손익'!$J$31:$AS$31,1,MAX(1,T$6-'01_가정'!$F$96))*(1+'01_가정'!$F$85),0)</f>
        <v>0</v>
      </c>
      <c r="U27" s="17">
        <f>IF(U$6&gt;'01_가정'!$F$96,INDEX('03_월별손익'!$J$31:$AS$31,1,MAX(1,U$6-'01_가정'!$F$96))*(1+'01_가정'!$F$85),0)</f>
        <v>0</v>
      </c>
      <c r="V27" s="17">
        <f>IF(V$6&gt;'01_가정'!$F$96,INDEX('03_월별손익'!$J$31:$AS$31,1,MAX(1,V$6-'01_가정'!$F$96))*(1+'01_가정'!$F$85),0)</f>
        <v>0</v>
      </c>
      <c r="W27" s="17">
        <f>IF(W$6&gt;'01_가정'!$F$96,INDEX('03_월별손익'!$J$31:$AS$31,1,MAX(1,W$6-'01_가정'!$F$96))*(1+'01_가정'!$F$85),0)</f>
        <v>0</v>
      </c>
      <c r="X27" s="17">
        <f>IF(X$6&gt;'01_가정'!$F$96,INDEX('03_월별손익'!$J$31:$AS$31,1,MAX(1,X$6-'01_가정'!$F$96))*(1+'01_가정'!$F$85),0)</f>
        <v>0</v>
      </c>
      <c r="Y27" s="17">
        <f>IF(Y$6&gt;'01_가정'!$F$96,INDEX('03_월별손익'!$J$31:$AS$31,1,MAX(1,Y$6-'01_가정'!$F$96))*(1+'01_가정'!$F$85),0)</f>
        <v>0</v>
      </c>
      <c r="Z27" s="17">
        <f>IF(Z$6&gt;'01_가정'!$F$96,INDEX('03_월별손익'!$J$31:$AS$31,1,MAX(1,Z$6-'01_가정'!$F$96))*(1+'01_가정'!$F$85),0)</f>
        <v>0</v>
      </c>
      <c r="AA27" s="17">
        <f>IF(AA$6&gt;'01_가정'!$F$96,INDEX('03_월별손익'!$J$31:$AS$31,1,MAX(1,AA$6-'01_가정'!$F$96))*(1+'01_가정'!$F$85),0)</f>
        <v>0</v>
      </c>
      <c r="AB27" s="17">
        <f>IF(AB$6&gt;'01_가정'!$F$96,INDEX('03_월별손익'!$J$31:$AS$31,1,MAX(1,AB$6-'01_가정'!$F$96))*(1+'01_가정'!$F$85),0)</f>
        <v>0</v>
      </c>
      <c r="AC27" s="17">
        <f>IF(AC$6&gt;'01_가정'!$F$96,INDEX('03_월별손익'!$J$31:$AS$31,1,MAX(1,AC$6-'01_가정'!$F$96))*(1+'01_가정'!$F$85),0)</f>
        <v>0</v>
      </c>
      <c r="AD27" s="17">
        <f>IF(AD$6&gt;'01_가정'!$F$96,INDEX('03_월별손익'!$J$31:$AS$31,1,MAX(1,AD$6-'01_가정'!$F$96))*(1+'01_가정'!$F$85),0)</f>
        <v>0</v>
      </c>
      <c r="AE27" s="17">
        <f>IF(AE$6&gt;'01_가정'!$F$96,INDEX('03_월별손익'!$J$31:$AS$31,1,MAX(1,AE$6-'01_가정'!$F$96))*(1+'01_가정'!$F$85),0)</f>
        <v>0</v>
      </c>
      <c r="AF27" s="17">
        <f>IF(AF$6&gt;'01_가정'!$F$96,INDEX('03_월별손익'!$J$31:$AS$31,1,MAX(1,AF$6-'01_가정'!$F$96))*(1+'01_가정'!$F$85),0)</f>
        <v>0</v>
      </c>
      <c r="AG27" s="17">
        <f>IF(AG$6&gt;'01_가정'!$F$96,INDEX('03_월별손익'!$J$31:$AS$31,1,MAX(1,AG$6-'01_가정'!$F$96))*(1+'01_가정'!$F$85),0)</f>
        <v>0</v>
      </c>
      <c r="AH27" s="17">
        <f>IF(AH$6&gt;'01_가정'!$F$96,INDEX('03_월별손익'!$J$31:$AS$31,1,MAX(1,AH$6-'01_가정'!$F$96))*(1+'01_가정'!$F$85),0)</f>
        <v>0</v>
      </c>
      <c r="AI27" s="17">
        <f>IF(AI$6&gt;'01_가정'!$F$96,INDEX('03_월별손익'!$J$31:$AS$31,1,MAX(1,AI$6-'01_가정'!$F$96))*(1+'01_가정'!$F$85),0)</f>
        <v>0</v>
      </c>
      <c r="AJ27" s="17">
        <f>IF(AJ$6&gt;'01_가정'!$F$96,INDEX('03_월별손익'!$J$31:$AS$31,1,MAX(1,AJ$6-'01_가정'!$F$96))*(1+'01_가정'!$F$85),0)</f>
        <v>0</v>
      </c>
      <c r="AK27" s="17">
        <f>IF(AK$6&gt;'01_가정'!$F$96,INDEX('03_월별손익'!$J$31:$AS$31,1,MAX(1,AK$6-'01_가정'!$F$96))*(1+'01_가정'!$F$85),0)</f>
        <v>0</v>
      </c>
      <c r="AL27" s="17">
        <f>IF(AL$6&gt;'01_가정'!$F$96,INDEX('03_월별손익'!$J$31:$AS$31,1,MAX(1,AL$6-'01_가정'!$F$96))*(1+'01_가정'!$F$85),0)</f>
        <v>0</v>
      </c>
      <c r="AM27" s="17">
        <f>IF(AM$6&gt;'01_가정'!$F$96,INDEX('03_월별손익'!$J$31:$AS$31,1,MAX(1,AM$6-'01_가정'!$F$96))*(1+'01_가정'!$F$85),0)</f>
        <v>0</v>
      </c>
      <c r="AN27" s="17">
        <f>IF(AN$6&gt;'01_가정'!$F$96,INDEX('03_월별손익'!$J$31:$AS$31,1,MAX(1,AN$6-'01_가정'!$F$96))*(1+'01_가정'!$F$85),0)</f>
        <v>0</v>
      </c>
      <c r="AO27" s="17">
        <f>IF(AO$6&gt;'01_가정'!$F$96,INDEX('03_월별손익'!$J$31:$AS$31,1,MAX(1,AO$6-'01_가정'!$F$96))*(1+'01_가정'!$F$85),0)</f>
        <v>0</v>
      </c>
      <c r="AP27" s="17">
        <f>IF(AP$6&gt;'01_가정'!$F$96,INDEX('03_월별손익'!$J$31:$AS$31,1,MAX(1,AP$6-'01_가정'!$F$96))*(1+'01_가정'!$F$85),0)</f>
        <v>0</v>
      </c>
      <c r="AQ27" s="17">
        <f>IF(AQ$6&gt;'01_가정'!$F$96,INDEX('03_월별손익'!$J$31:$AS$31,1,MAX(1,AQ$6-'01_가정'!$F$96))*(1+'01_가정'!$F$85),0)</f>
        <v>0</v>
      </c>
      <c r="AR27" s="17">
        <f>IF(AR$6&gt;'01_가정'!$F$96,INDEX('03_월별손익'!$J$31:$AS$31,1,MAX(1,AR$6-'01_가정'!$F$96))*(1+'01_가정'!$F$85),0)</f>
        <v>0</v>
      </c>
      <c r="AS27" s="17">
        <f>IF(AS$6&gt;'01_가정'!$F$96,INDEX('03_월별손익'!$J$31:$AS$31,1,MAX(1,AS$6-'01_가정'!$F$96))*(1+'01_가정'!$F$85),0)</f>
        <v>0</v>
      </c>
    </row>
    <row r="28" spans="1:45" ht="22.95" customHeight="1">
      <c r="A28" s="1"/>
      <c r="B28" s="1"/>
      <c r="C28" s="1" t="s">
        <v>275</v>
      </c>
      <c r="D28" s="1" t="s">
        <v>11</v>
      </c>
      <c r="E28" s="1"/>
      <c r="F28" s="19">
        <f t="shared" si="8"/>
        <v>32986.800000000003</v>
      </c>
      <c r="G28" s="19">
        <f t="shared" si="9"/>
        <v>2564541.7327466239</v>
      </c>
      <c r="H28" s="19">
        <f t="shared" si="10"/>
        <v>8148611.73315161</v>
      </c>
      <c r="I28" s="1"/>
      <c r="J28" s="17">
        <f>'03_월별손익'!J32*(1+'01_가정'!$F$85)</f>
        <v>0</v>
      </c>
      <c r="K28" s="17">
        <f>'03_월별손익'!K32*(1+'01_가정'!$F$85)</f>
        <v>0</v>
      </c>
      <c r="L28" s="17">
        <f>'03_월별손익'!L32*(1+'01_가정'!$F$85)</f>
        <v>0</v>
      </c>
      <c r="M28" s="17">
        <f>'03_월별손익'!M32*(1+'01_가정'!$F$85)</f>
        <v>0</v>
      </c>
      <c r="N28" s="17">
        <f>'03_월별손익'!N32*(1+'01_가정'!$F$85)</f>
        <v>0</v>
      </c>
      <c r="O28" s="17">
        <f>'03_월별손익'!O32*(1+'01_가정'!$F$85)</f>
        <v>0</v>
      </c>
      <c r="P28" s="17">
        <f>'03_월별손익'!P32*(1+'01_가정'!$F$85)</f>
        <v>0</v>
      </c>
      <c r="Q28" s="17">
        <f>'03_월별손익'!Q32*(1+'01_가정'!$F$85)</f>
        <v>0</v>
      </c>
      <c r="R28" s="17">
        <f>'03_월별손익'!R32*(1+'01_가정'!$F$85)</f>
        <v>0</v>
      </c>
      <c r="S28" s="17">
        <f>'03_월별손익'!S32*(1+'01_가정'!$F$85)</f>
        <v>0</v>
      </c>
      <c r="T28" s="17">
        <f>'03_월별손익'!T32*(1+'01_가정'!$F$85)</f>
        <v>9896.0400000000009</v>
      </c>
      <c r="U28" s="17">
        <f>'03_월별손익'!U32*(1+'01_가정'!$F$85)</f>
        <v>23090.760000000002</v>
      </c>
      <c r="V28" s="17">
        <f>'03_월별손익'!V32*(1+'01_가정'!$F$85)</f>
        <v>38627.542800000003</v>
      </c>
      <c r="W28" s="17">
        <f>'03_월별손익'!W32*(1+'01_가정'!$F$85)</f>
        <v>98773.073784000007</v>
      </c>
      <c r="X28" s="17">
        <f>'03_월별손익'!X32*(1+'01_가정'!$F$85)</f>
        <v>145686.58795152002</v>
      </c>
      <c r="Y28" s="17">
        <f>'03_월별손익'!Y32*(1+'01_가정'!$F$85)</f>
        <v>182279.12900218563</v>
      </c>
      <c r="Z28" s="17">
        <f>'03_월별손익'!Z32*(1+'01_가정'!$F$85)</f>
        <v>210821.31102170481</v>
      </c>
      <c r="AA28" s="17">
        <f>'03_월별손익'!AA32*(1+'01_가정'!$F$85)</f>
        <v>233084.21299692977</v>
      </c>
      <c r="AB28" s="17">
        <f>'03_월별손익'!AB32*(1+'01_가정'!$F$85)</f>
        <v>250449.27653760524</v>
      </c>
      <c r="AC28" s="17">
        <f>'03_월별손익'!AC32*(1+'01_가정'!$F$85)</f>
        <v>263994.02609933208</v>
      </c>
      <c r="AD28" s="17">
        <f>'03_월별손익'!AD32*(1+'01_가정'!$F$85)</f>
        <v>274558.93075747899</v>
      </c>
      <c r="AE28" s="17">
        <f>'03_월별손익'!AE32*(1+'01_가정'!$F$85)</f>
        <v>282799.55639083363</v>
      </c>
      <c r="AF28" s="17">
        <f>'03_월별손익'!AF32*(1+'01_가정'!$F$85)</f>
        <v>289227.2443848502</v>
      </c>
      <c r="AG28" s="17">
        <f>'03_월별손익'!AG32*(1+'01_가정'!$F$85)</f>
        <v>294240.84102018323</v>
      </c>
      <c r="AH28" s="17">
        <f>'03_월별손익'!AH32*(1+'01_가정'!$F$85)</f>
        <v>304036.26321614656</v>
      </c>
      <c r="AI28" s="17">
        <f>'03_월별손익'!AI32*(1+'01_가정'!$F$85)</f>
        <v>426596.81057291728</v>
      </c>
      <c r="AJ28" s="17">
        <f>'03_월별손익'!AJ32*(1+'01_가정'!$F$85)</f>
        <v>524645.2484583339</v>
      </c>
      <c r="AK28" s="17">
        <f>'03_월별손익'!AK32*(1+'01_가정'!$F$85)</f>
        <v>603083.99876666709</v>
      </c>
      <c r="AL28" s="17">
        <f>'03_월별손익'!AL32*(1+'01_가정'!$F$85)</f>
        <v>665834.9990133337</v>
      </c>
      <c r="AM28" s="17">
        <f>'03_월별손익'!AM32*(1+'01_가정'!$F$85)</f>
        <v>716035.79921066703</v>
      </c>
      <c r="AN28" s="17">
        <f>'03_월별손익'!AN32*(1+'01_가정'!$F$85)</f>
        <v>756196.43936853367</v>
      </c>
      <c r="AO28" s="17">
        <f>'03_월별손익'!AO32*(1+'01_가정'!$F$85)</f>
        <v>788324.95149482694</v>
      </c>
      <c r="AP28" s="17">
        <f>'03_월별손익'!AP32*(1+'01_가정'!$F$85)</f>
        <v>814027.7611958615</v>
      </c>
      <c r="AQ28" s="17">
        <f>'03_월별손익'!AQ32*(1+'01_가정'!$F$85)</f>
        <v>834590.00895668927</v>
      </c>
      <c r="AR28" s="17">
        <f>'03_월별손익'!AR32*(1+'01_가정'!$F$85)</f>
        <v>851039.80716535123</v>
      </c>
      <c r="AS28" s="17">
        <f>'03_월별손익'!AS32*(1+'01_가정'!$F$85)</f>
        <v>864199.64573228091</v>
      </c>
    </row>
    <row r="29" spans="1:45" ht="22.95" customHeight="1">
      <c r="A29" s="1"/>
      <c r="B29" s="1"/>
      <c r="C29" s="8" t="s">
        <v>276</v>
      </c>
      <c r="D29" s="8" t="s">
        <v>11</v>
      </c>
      <c r="E29" s="8"/>
      <c r="F29" s="9">
        <f t="shared" si="8"/>
        <v>6173386.7999999989</v>
      </c>
      <c r="G29" s="9">
        <f t="shared" si="9"/>
        <v>93834621.732746631</v>
      </c>
      <c r="H29" s="9">
        <f t="shared" si="10"/>
        <v>203196611.73315164</v>
      </c>
      <c r="I29" s="8"/>
      <c r="J29" s="9">
        <f t="shared" ref="J29:AS29" si="11">SUM(J26:J28)</f>
        <v>0</v>
      </c>
      <c r="K29" s="9">
        <f t="shared" si="11"/>
        <v>0</v>
      </c>
      <c r="L29" s="9">
        <f t="shared" si="11"/>
        <v>0</v>
      </c>
      <c r="M29" s="9">
        <f t="shared" si="11"/>
        <v>0</v>
      </c>
      <c r="N29" s="9">
        <f t="shared" si="11"/>
        <v>0</v>
      </c>
      <c r="O29" s="9">
        <f t="shared" si="11"/>
        <v>0</v>
      </c>
      <c r="P29" s="9">
        <f t="shared" si="11"/>
        <v>0</v>
      </c>
      <c r="Q29" s="9">
        <f t="shared" si="11"/>
        <v>0</v>
      </c>
      <c r="R29" s="9">
        <f t="shared" si="11"/>
        <v>0</v>
      </c>
      <c r="S29" s="9">
        <f t="shared" si="11"/>
        <v>1315800</v>
      </c>
      <c r="T29" s="9">
        <f t="shared" si="11"/>
        <v>2093246.0399999998</v>
      </c>
      <c r="U29" s="9">
        <f t="shared" si="11"/>
        <v>2764340.7599999993</v>
      </c>
      <c r="V29" s="9">
        <f t="shared" si="11"/>
        <v>7644467.5427999999</v>
      </c>
      <c r="W29" s="9">
        <f t="shared" si="11"/>
        <v>7704613.0737840002</v>
      </c>
      <c r="X29" s="9">
        <f t="shared" si="11"/>
        <v>7751526.5879515205</v>
      </c>
      <c r="Y29" s="9">
        <f t="shared" si="11"/>
        <v>7788119.1290021855</v>
      </c>
      <c r="Z29" s="9">
        <f t="shared" si="11"/>
        <v>7816661.3110217052</v>
      </c>
      <c r="AA29" s="9">
        <f t="shared" si="11"/>
        <v>7838924.2129969299</v>
      </c>
      <c r="AB29" s="9">
        <f t="shared" si="11"/>
        <v>7856289.2765376056</v>
      </c>
      <c r="AC29" s="9">
        <f t="shared" si="11"/>
        <v>7869834.0260993317</v>
      </c>
      <c r="AD29" s="9">
        <f t="shared" si="11"/>
        <v>7880398.9307574788</v>
      </c>
      <c r="AE29" s="9">
        <f t="shared" si="11"/>
        <v>7888639.556390834</v>
      </c>
      <c r="AF29" s="9">
        <f t="shared" si="11"/>
        <v>7895067.2443848504</v>
      </c>
      <c r="AG29" s="9">
        <f t="shared" si="11"/>
        <v>7900080.8410201836</v>
      </c>
      <c r="AH29" s="9">
        <f t="shared" si="11"/>
        <v>16558036.263216147</v>
      </c>
      <c r="AI29" s="9">
        <f t="shared" si="11"/>
        <v>16680596.810572917</v>
      </c>
      <c r="AJ29" s="9">
        <f t="shared" si="11"/>
        <v>16778645.248458333</v>
      </c>
      <c r="AK29" s="9">
        <f t="shared" si="11"/>
        <v>16857083.998766668</v>
      </c>
      <c r="AL29" s="9">
        <f t="shared" si="11"/>
        <v>16919834.999013335</v>
      </c>
      <c r="AM29" s="9">
        <f t="shared" si="11"/>
        <v>16970035.799210668</v>
      </c>
      <c r="AN29" s="9">
        <f t="shared" si="11"/>
        <v>17010196.439368535</v>
      </c>
      <c r="AO29" s="9">
        <f t="shared" si="11"/>
        <v>17042324.951494828</v>
      </c>
      <c r="AP29" s="9">
        <f t="shared" si="11"/>
        <v>17068027.761195861</v>
      </c>
      <c r="AQ29" s="9">
        <f t="shared" si="11"/>
        <v>17088590.008956689</v>
      </c>
      <c r="AR29" s="9">
        <f t="shared" si="11"/>
        <v>17105039.807165351</v>
      </c>
      <c r="AS29" s="9">
        <f t="shared" si="11"/>
        <v>17118199.64573228</v>
      </c>
    </row>
    <row r="30" spans="1:45" ht="22.95" customHeight="1">
      <c r="A30" s="1"/>
      <c r="B30" s="1"/>
      <c r="C30" s="1" t="s">
        <v>277</v>
      </c>
      <c r="D30" s="1" t="s">
        <v>11</v>
      </c>
      <c r="E30" s="1"/>
      <c r="F30" s="19">
        <f t="shared" si="8"/>
        <v>91362160.564400017</v>
      </c>
      <c r="G30" s="19">
        <f t="shared" si="9"/>
        <v>104923782.13361828</v>
      </c>
      <c r="H30" s="19">
        <f t="shared" si="10"/>
        <v>153652305.82211912</v>
      </c>
      <c r="I30" s="1"/>
      <c r="J30" s="17">
        <f>SUM('03_월별손익'!J35,'03_월별손익'!J37:J45,'03_월별손익'!J47,'03_월별손익'!J50:J51)*(1+'01_가정'!$F$85)</f>
        <v>4400000</v>
      </c>
      <c r="K30" s="17">
        <f>SUM('03_월별손익'!K35,'03_월별손익'!K37:K45,'03_월별손익'!K47,'03_월별손익'!K50:K51)*(1+'01_가정'!$F$85)</f>
        <v>5500000</v>
      </c>
      <c r="L30" s="17">
        <f>SUM('03_월별손익'!L35,'03_월별손익'!L37:L45,'03_월별손익'!L47,'03_월별손익'!L50:L51)*(1+'01_가정'!$F$85)</f>
        <v>5500000</v>
      </c>
      <c r="M30" s="17">
        <f>SUM('03_월별손익'!M35,'03_월별손익'!M37:M45,'03_월별손익'!M47,'03_월별손익'!M50:M51)*(1+'01_가정'!$F$85)</f>
        <v>20900000</v>
      </c>
      <c r="N30" s="17">
        <f>SUM('03_월별손익'!N35,'03_월별손익'!N37:N45,'03_월별손익'!N47,'03_월별손익'!N50:N51)*(1+'01_가정'!$F$85)</f>
        <v>18700000</v>
      </c>
      <c r="O30" s="17">
        <f>SUM('03_월별손익'!O35,'03_월별손익'!O37:O45,'03_월별손익'!O47,'03_월별손익'!O50:O51)*(1+'01_가정'!$F$85)</f>
        <v>18700000</v>
      </c>
      <c r="P30" s="17">
        <f>SUM('03_월별손익'!P35,'03_월별손익'!P37:P45,'03_월별손익'!P47,'03_월별손익'!P50:P51)*(1+'01_가정'!$F$85)</f>
        <v>2200000</v>
      </c>
      <c r="Q30" s="17">
        <f>SUM('03_월별손익'!Q35,'03_월별손익'!Q37:Q45,'03_월별손익'!Q47,'03_월별손익'!Q50:Q51)*(1+'01_가정'!$F$85)</f>
        <v>2200000</v>
      </c>
      <c r="R30" s="17">
        <f>SUM('03_월별손익'!R35,'03_월별손익'!R37:R45,'03_월별손익'!R47,'03_월별손익'!R50:R51)*(1+'01_가정'!$F$85)</f>
        <v>2200000</v>
      </c>
      <c r="S30" s="17">
        <f>SUM('03_월별손익'!S35,'03_월별손익'!S37:S45,'03_월별손익'!S47,'03_월별손익'!S50:S51)*(1+'01_가정'!$F$85)</f>
        <v>3179301.4000000004</v>
      </c>
      <c r="T30" s="17">
        <f>SUM('03_월별손익'!T35,'03_월별손익'!T37:T45,'03_월별손익'!T47,'03_월별손익'!T50:T51)*(1+'01_가정'!$F$85)</f>
        <v>3690686.7593200002</v>
      </c>
      <c r="U30" s="17">
        <f>SUM('03_월별손익'!U35,'03_월별손익'!U37:U45,'03_월별손익'!U47,'03_월별손익'!U50:U51)*(1+'01_가정'!$F$85)</f>
        <v>4192172.4050800004</v>
      </c>
      <c r="V30" s="17">
        <f>SUM('03_월별손익'!V35,'03_월별손익'!V37:V45,'03_월별손익'!V47,'03_월별손익'!V50:V51)*(1+'01_가정'!$F$85)</f>
        <v>8590577.6157124005</v>
      </c>
      <c r="W30" s="17">
        <f>SUM('03_월별손익'!W35,'03_월별손익'!W37:W45,'03_월별손익'!W47,'03_월별손익'!W50:W51)*(1+'01_가정'!$F$85)</f>
        <v>8643161.0395388734</v>
      </c>
      <c r="X30" s="17">
        <f>SUM('03_월별손익'!X35,'03_월별손익'!X37:X45,'03_월별손익'!X47,'03_월별손익'!X50:X51)*(1+'01_가정'!$F$85)</f>
        <v>8684176.1101235207</v>
      </c>
      <c r="Y30" s="17">
        <f>SUM('03_월별손익'!Y35,'03_월별손익'!Y37:Y45,'03_월별손익'!Y47,'03_월별손익'!Y50:Y51)*(1+'01_가정'!$F$85)</f>
        <v>8716167.8651795462</v>
      </c>
      <c r="Z30" s="17">
        <f>SUM('03_월별손익'!Z35,'03_월별손익'!Z37:Z45,'03_월별손익'!Z47,'03_월별손익'!Z50:Z51)*(1+'01_가정'!$F$85)</f>
        <v>8741121.434123246</v>
      </c>
      <c r="AA30" s="17">
        <f>SUM('03_월별손익'!AA35,'03_월별손익'!AA37:AA45,'03_월별손익'!AA47,'03_월별손익'!AA50:AA51)*(1+'01_가정'!$F$85)</f>
        <v>8760585.2178993318</v>
      </c>
      <c r="AB30" s="17">
        <f>SUM('03_월별손익'!AB35,'03_월별손익'!AB37:AB45,'03_월별손익'!AB47,'03_월별손익'!AB50:AB51)*(1+'01_가정'!$F$85)</f>
        <v>8775766.9692446794</v>
      </c>
      <c r="AC30" s="17">
        <f>SUM('03_월별손익'!AC35,'03_월별손익'!AC37:AC45,'03_월별손익'!AC47,'03_월별손익'!AC50:AC51)*(1+'01_가정'!$F$85)</f>
        <v>8787608.7352940496</v>
      </c>
      <c r="AD30" s="17">
        <f>SUM('03_월별손익'!AD35,'03_월별손익'!AD37:AD45,'03_월별손익'!AD47,'03_월별손익'!AD50:AD51)*(1+'01_가정'!$F$85)</f>
        <v>8796845.3128125593</v>
      </c>
      <c r="AE30" s="17">
        <f>SUM('03_월별손익'!AE35,'03_월별손익'!AE37:AE45,'03_월별손익'!AE47,'03_월별손익'!AE50:AE51)*(1+'01_가정'!$F$85)</f>
        <v>8804049.8432769962</v>
      </c>
      <c r="AF30" s="17">
        <f>SUM('03_월별손익'!AF35,'03_월별손익'!AF37:AF45,'03_월별손익'!AF47,'03_월별손익'!AF50:AF51)*(1+'01_가정'!$F$85)</f>
        <v>8809669.3770392574</v>
      </c>
      <c r="AG30" s="17">
        <f>SUM('03_월별손익'!AG35,'03_월별손익'!AG37:AG45,'03_월별손익'!AG47,'03_월별손익'!AG50:AG51)*(1+'01_가정'!$F$85)</f>
        <v>8814052.6133738216</v>
      </c>
      <c r="AH30" s="17">
        <f>SUM('03_월별손익'!AH35,'03_월별손익'!AH37:AH45,'03_월별손익'!AH47,'03_월별손익'!AH50:AH51)*(1+'01_가정'!$F$85)</f>
        <v>12489250.366085108</v>
      </c>
      <c r="AI30" s="17">
        <f>SUM('03_월별손익'!AI35,'03_월별손익'!AI37:AI45,'03_월별손익'!AI47,'03_월별손익'!AI50:AI51)*(1+'01_가정'!$F$85)</f>
        <v>12592232.630268086</v>
      </c>
      <c r="AJ30" s="17">
        <f>SUM('03_월별손익'!AJ35,'03_월별손익'!AJ37:AJ45,'03_월별손익'!AJ47,'03_월별손익'!AJ50:AJ51)*(1+'01_가정'!$F$85)</f>
        <v>12674618.441614471</v>
      </c>
      <c r="AK30" s="17">
        <f>SUM('03_월별손익'!AK35,'03_월별손익'!AK37:AK45,'03_월별손익'!AK47,'03_월별손익'!AK50:AK51)*(1+'01_가정'!$F$85)</f>
        <v>12740527.090691576</v>
      </c>
      <c r="AL30" s="17">
        <f>SUM('03_월별손익'!AL35,'03_월별손익'!AL37:AL45,'03_월별손익'!AL47,'03_월별손익'!AL50:AL51)*(1+'01_가정'!$F$85)</f>
        <v>12793254.00995326</v>
      </c>
      <c r="AM30" s="17">
        <f>SUM('03_월별손익'!AM35,'03_월별손익'!AM37:AM45,'03_월별손익'!AM47,'03_월별손익'!AM50:AM51)*(1+'01_가정'!$F$85)</f>
        <v>12835435.54536261</v>
      </c>
      <c r="AN30" s="17">
        <f>SUM('03_월별손익'!AN35,'03_월별손익'!AN37:AN45,'03_월별손익'!AN47,'03_월별손익'!AN50:AN51)*(1+'01_가정'!$F$85)</f>
        <v>12869180.773690088</v>
      </c>
      <c r="AO30" s="17">
        <f>SUM('03_월별손익'!AO35,'03_월별손익'!AO37:AO45,'03_월별손익'!AO47,'03_월별손익'!AO50:AO51)*(1+'01_가정'!$F$85)</f>
        <v>12896176.956352072</v>
      </c>
      <c r="AP30" s="17">
        <f>SUM('03_월별손익'!AP35,'03_월별손익'!AP37:AP45,'03_월별손익'!AP47,'03_월별손익'!AP50:AP51)*(1+'01_가정'!$F$85)</f>
        <v>12917773.902481657</v>
      </c>
      <c r="AQ30" s="17">
        <f>SUM('03_월별손익'!AQ35,'03_월별손익'!AQ37:AQ45,'03_월별손익'!AQ47,'03_월별손익'!AQ50:AQ51)*(1+'01_가정'!$F$85)</f>
        <v>12935051.459385324</v>
      </c>
      <c r="AR30" s="17">
        <f>SUM('03_월별손익'!AR35,'03_월별손익'!AR37:AR45,'03_월별손익'!AR47,'03_월별손익'!AR50:AR51)*(1+'01_가정'!$F$85)</f>
        <v>12948873.50490826</v>
      </c>
      <c r="AS30" s="17">
        <f>SUM('03_월별손익'!AS35,'03_월별손익'!AS37:AS45,'03_월별손익'!AS47,'03_월별손익'!AS50:AS51)*(1+'01_가정'!$F$85)</f>
        <v>12959931.141326608</v>
      </c>
    </row>
    <row r="31" spans="1:45" ht="22.95" customHeight="1">
      <c r="A31" s="1"/>
      <c r="B31" s="1"/>
      <c r="C31" s="1" t="s">
        <v>278</v>
      </c>
      <c r="D31" s="1" t="s">
        <v>11</v>
      </c>
      <c r="E31" s="1"/>
      <c r="F31" s="19">
        <f t="shared" si="8"/>
        <v>162000000</v>
      </c>
      <c r="G31" s="19">
        <f t="shared" si="9"/>
        <v>169200000</v>
      </c>
      <c r="H31" s="19">
        <f t="shared" si="10"/>
        <v>180000000</v>
      </c>
      <c r="I31" s="1"/>
      <c r="J31" s="17">
        <f>'03_월별손익'!J49*(1-'01_가정'!$F$107)</f>
        <v>13500000</v>
      </c>
      <c r="K31" s="17">
        <f>'03_월별손익'!K49*(1-'01_가정'!$F$107)</f>
        <v>13500000</v>
      </c>
      <c r="L31" s="17">
        <f>'03_월별손익'!L49*(1-'01_가정'!$F$107)</f>
        <v>13500000</v>
      </c>
      <c r="M31" s="17">
        <f>'03_월별손익'!M49*(1-'01_가정'!$F$107)</f>
        <v>13500000</v>
      </c>
      <c r="N31" s="17">
        <f>'03_월별손익'!N49*(1-'01_가정'!$F$107)</f>
        <v>13500000</v>
      </c>
      <c r="O31" s="17">
        <f>'03_월별손익'!O49*(1-'01_가정'!$F$107)</f>
        <v>13500000</v>
      </c>
      <c r="P31" s="17">
        <f>'03_월별손익'!P49*(1-'01_가정'!$F$107)</f>
        <v>13500000</v>
      </c>
      <c r="Q31" s="17">
        <f>'03_월별손익'!Q49*(1-'01_가정'!$F$107)</f>
        <v>13500000</v>
      </c>
      <c r="R31" s="17">
        <f>'03_월별손익'!R49*(1-'01_가정'!$F$107)</f>
        <v>13500000</v>
      </c>
      <c r="S31" s="17">
        <f>'03_월별손익'!S49*(1-'01_가정'!$F$107)</f>
        <v>13500000</v>
      </c>
      <c r="T31" s="17">
        <f>'03_월별손익'!T49*(1-'01_가정'!$F$107)</f>
        <v>13500000</v>
      </c>
      <c r="U31" s="17">
        <f>'03_월별손익'!U49*(1-'01_가정'!$F$107)</f>
        <v>13500000</v>
      </c>
      <c r="V31" s="17">
        <f>'03_월별손익'!V49*(1-'01_가정'!$F$107)</f>
        <v>14100000</v>
      </c>
      <c r="W31" s="17">
        <f>'03_월별손익'!W49*(1-'01_가정'!$F$107)</f>
        <v>14100000</v>
      </c>
      <c r="X31" s="17">
        <f>'03_월별손익'!X49*(1-'01_가정'!$F$107)</f>
        <v>14100000</v>
      </c>
      <c r="Y31" s="17">
        <f>'03_월별손익'!Y49*(1-'01_가정'!$F$107)</f>
        <v>14100000</v>
      </c>
      <c r="Z31" s="17">
        <f>'03_월별손익'!Z49*(1-'01_가정'!$F$107)</f>
        <v>14100000</v>
      </c>
      <c r="AA31" s="17">
        <f>'03_월별손익'!AA49*(1-'01_가정'!$F$107)</f>
        <v>14100000</v>
      </c>
      <c r="AB31" s="17">
        <f>'03_월별손익'!AB49*(1-'01_가정'!$F$107)</f>
        <v>14100000</v>
      </c>
      <c r="AC31" s="17">
        <f>'03_월별손익'!AC49*(1-'01_가정'!$F$107)</f>
        <v>14100000</v>
      </c>
      <c r="AD31" s="17">
        <f>'03_월별손익'!AD49*(1-'01_가정'!$F$107)</f>
        <v>14100000</v>
      </c>
      <c r="AE31" s="17">
        <f>'03_월별손익'!AE49*(1-'01_가정'!$F$107)</f>
        <v>14100000</v>
      </c>
      <c r="AF31" s="17">
        <f>'03_월별손익'!AF49*(1-'01_가정'!$F$107)</f>
        <v>14100000</v>
      </c>
      <c r="AG31" s="17">
        <f>'03_월별손익'!AG49*(1-'01_가정'!$F$107)</f>
        <v>14100000</v>
      </c>
      <c r="AH31" s="17">
        <f>'03_월별손익'!AH49*(1-'01_가정'!$F$107)</f>
        <v>15000000</v>
      </c>
      <c r="AI31" s="17">
        <f>'03_월별손익'!AI49*(1-'01_가정'!$F$107)</f>
        <v>15000000</v>
      </c>
      <c r="AJ31" s="17">
        <f>'03_월별손익'!AJ49*(1-'01_가정'!$F$107)</f>
        <v>15000000</v>
      </c>
      <c r="AK31" s="17">
        <f>'03_월별손익'!AK49*(1-'01_가정'!$F$107)</f>
        <v>15000000</v>
      </c>
      <c r="AL31" s="17">
        <f>'03_월별손익'!AL49*(1-'01_가정'!$F$107)</f>
        <v>15000000</v>
      </c>
      <c r="AM31" s="17">
        <f>'03_월별손익'!AM49*(1-'01_가정'!$F$107)</f>
        <v>15000000</v>
      </c>
      <c r="AN31" s="17">
        <f>'03_월별손익'!AN49*(1-'01_가정'!$F$107)</f>
        <v>15000000</v>
      </c>
      <c r="AO31" s="17">
        <f>'03_월별손익'!AO49*(1-'01_가정'!$F$107)</f>
        <v>15000000</v>
      </c>
      <c r="AP31" s="17">
        <f>'03_월별손익'!AP49*(1-'01_가정'!$F$107)</f>
        <v>15000000</v>
      </c>
      <c r="AQ31" s="17">
        <f>'03_월별손익'!AQ49*(1-'01_가정'!$F$107)</f>
        <v>15000000</v>
      </c>
      <c r="AR31" s="17">
        <f>'03_월별손익'!AR49*(1-'01_가정'!$F$107)</f>
        <v>15000000</v>
      </c>
      <c r="AS31" s="17">
        <f>'03_월별손익'!AS49*(1-'01_가정'!$F$107)</f>
        <v>15000000</v>
      </c>
    </row>
    <row r="32" spans="1:45" ht="22.95" customHeight="1">
      <c r="A32" s="1"/>
      <c r="B32" s="1"/>
      <c r="C32" s="1" t="s">
        <v>279</v>
      </c>
      <c r="D32" s="1" t="s">
        <v>11</v>
      </c>
      <c r="E32" s="1"/>
      <c r="F32" s="19">
        <f t="shared" si="8"/>
        <v>27500000.000000004</v>
      </c>
      <c r="G32" s="19">
        <f t="shared" si="9"/>
        <v>0</v>
      </c>
      <c r="H32" s="19">
        <f t="shared" si="10"/>
        <v>0</v>
      </c>
      <c r="I32" s="1"/>
      <c r="J32" s="17">
        <f>IF(J$6=MAX(1,'01_가정'!F46-2),'01_가정'!$F$103*(1+'01_가정'!$F$85),0)</f>
        <v>0</v>
      </c>
      <c r="K32" s="17">
        <f>IF(K$6=MAX(1,'01_가정'!F46-2),'01_가정'!$F$103*(1+'01_가정'!$F$85),0)</f>
        <v>0</v>
      </c>
      <c r="L32" s="17">
        <f>IF(L$6=MAX(1,'01_가정'!F46-2),'01_가정'!$F$103*(1+'01_가정'!$F$85),0)</f>
        <v>0</v>
      </c>
      <c r="M32" s="17">
        <f>IF(M$6=MAX(1,'01_가정'!F46-2),'01_가정'!$F$103*(1+'01_가정'!$F$85),0)</f>
        <v>0</v>
      </c>
      <c r="N32" s="17">
        <f>IF(N$6=MAX(1,'01_가정'!F46-2),'01_가정'!$F$103*(1+'01_가정'!$F$85),0)</f>
        <v>0</v>
      </c>
      <c r="O32" s="17">
        <f>IF(O$6=MAX(1,'01_가정'!F46-2),'01_가정'!$F$103*(1+'01_가정'!$F$85),0)</f>
        <v>0</v>
      </c>
      <c r="P32" s="17">
        <f>IF(P$6=MAX(1,'01_가정'!F46-2),'01_가정'!$F$103*(1+'01_가정'!$F$85),0)</f>
        <v>0</v>
      </c>
      <c r="Q32" s="17">
        <f>IF(Q$6=MAX(1,'01_가정'!F46-2),'01_가정'!$F$103*(1+'01_가정'!$F$85),0)</f>
        <v>27500000.000000004</v>
      </c>
      <c r="R32" s="17">
        <f>IF(R$6=MAX(1,'01_가정'!F46-2),'01_가정'!$F$103*(1+'01_가정'!$F$85),0)</f>
        <v>0</v>
      </c>
      <c r="S32" s="17">
        <f>IF(S$6=MAX(1,'01_가정'!F46-2),'01_가정'!$F$103*(1+'01_가정'!$F$85),0)</f>
        <v>0</v>
      </c>
      <c r="T32" s="17">
        <f>IF(T$6=MAX(1,'01_가정'!F46-2),'01_가정'!$F$103*(1+'01_가정'!$F$85),0)</f>
        <v>0</v>
      </c>
      <c r="U32" s="17">
        <f>IF(U$6=MAX(1,'01_가정'!F46-2),'01_가정'!$F$103*(1+'01_가정'!$F$85),0)</f>
        <v>0</v>
      </c>
      <c r="V32" s="17">
        <f>IF(V$6=MAX(1,'01_가정'!F46-2),'01_가정'!$F$103*(1+'01_가정'!$F$85),0)</f>
        <v>0</v>
      </c>
      <c r="W32" s="17">
        <f>IF(W$6=MAX(1,'01_가정'!F46-2),'01_가정'!$F$103*(1+'01_가정'!$F$85),0)</f>
        <v>0</v>
      </c>
      <c r="X32" s="17">
        <f>IF(X$6=MAX(1,'01_가정'!F46-2),'01_가정'!$F$103*(1+'01_가정'!$F$85),0)</f>
        <v>0</v>
      </c>
      <c r="Y32" s="17">
        <f>IF(Y$6=MAX(1,'01_가정'!F46-2),'01_가정'!$F$103*(1+'01_가정'!$F$85),0)</f>
        <v>0</v>
      </c>
      <c r="Z32" s="17">
        <f>IF(Z$6=MAX(1,'01_가정'!F46-2),'01_가정'!$F$103*(1+'01_가정'!$F$85),0)</f>
        <v>0</v>
      </c>
      <c r="AA32" s="17">
        <f>IF(AA$6=MAX(1,'01_가정'!F46-2),'01_가정'!$F$103*(1+'01_가정'!$F$85),0)</f>
        <v>0</v>
      </c>
      <c r="AB32" s="17">
        <f>IF(AB$6=MAX(1,'01_가정'!F46-2),'01_가정'!$F$103*(1+'01_가정'!$F$85),0)</f>
        <v>0</v>
      </c>
      <c r="AC32" s="17">
        <f>IF(AC$6=MAX(1,'01_가정'!F46-2),'01_가정'!$F$103*(1+'01_가정'!$F$85),0)</f>
        <v>0</v>
      </c>
      <c r="AD32" s="17">
        <f>IF(AD$6=MAX(1,'01_가정'!F46-2),'01_가정'!$F$103*(1+'01_가정'!$F$85),0)</f>
        <v>0</v>
      </c>
      <c r="AE32" s="17">
        <f>IF(AE$6=MAX(1,'01_가정'!F46-2),'01_가정'!$F$103*(1+'01_가정'!$F$85),0)</f>
        <v>0</v>
      </c>
      <c r="AF32" s="17">
        <f>IF(AF$6=MAX(1,'01_가정'!F46-2),'01_가정'!$F$103*(1+'01_가정'!$F$85),0)</f>
        <v>0</v>
      </c>
      <c r="AG32" s="17">
        <f>IF(AG$6=MAX(1,'01_가정'!F46-2),'01_가정'!$F$103*(1+'01_가정'!$F$85),0)</f>
        <v>0</v>
      </c>
      <c r="AH32" s="17">
        <f>IF(AH$6=MAX(1,'01_가정'!F46-2),'01_가정'!$F$103*(1+'01_가정'!$F$85),0)</f>
        <v>0</v>
      </c>
      <c r="AI32" s="17">
        <f>IF(AI$6=MAX(1,'01_가정'!F46-2),'01_가정'!$F$103*(1+'01_가정'!$F$85),0)</f>
        <v>0</v>
      </c>
      <c r="AJ32" s="17">
        <f>IF(AJ$6=MAX(1,'01_가정'!F46-2),'01_가정'!$F$103*(1+'01_가정'!$F$85),0)</f>
        <v>0</v>
      </c>
      <c r="AK32" s="17">
        <f>IF(AK$6=MAX(1,'01_가정'!F46-2),'01_가정'!$F$103*(1+'01_가정'!$F$85),0)</f>
        <v>0</v>
      </c>
      <c r="AL32" s="17">
        <f>IF(AL$6=MAX(1,'01_가정'!F46-2),'01_가정'!$F$103*(1+'01_가정'!$F$85),0)</f>
        <v>0</v>
      </c>
      <c r="AM32" s="17">
        <f>IF(AM$6=MAX(1,'01_가정'!F46-2),'01_가정'!$F$103*(1+'01_가정'!$F$85),0)</f>
        <v>0</v>
      </c>
      <c r="AN32" s="17">
        <f>IF(AN$6=MAX(1,'01_가정'!F46-2),'01_가정'!$F$103*(1+'01_가정'!$F$85),0)</f>
        <v>0</v>
      </c>
      <c r="AO32" s="17">
        <f>IF(AO$6=MAX(1,'01_가정'!F46-2),'01_가정'!$F$103*(1+'01_가정'!$F$85),0)</f>
        <v>0</v>
      </c>
      <c r="AP32" s="17">
        <f>IF(AP$6=MAX(1,'01_가정'!F46-2),'01_가정'!$F$103*(1+'01_가정'!$F$85),0)</f>
        <v>0</v>
      </c>
      <c r="AQ32" s="17">
        <f>IF(AQ$6=MAX(1,'01_가정'!F46-2),'01_가정'!$F$103*(1+'01_가정'!$F$85),0)</f>
        <v>0</v>
      </c>
      <c r="AR32" s="17">
        <f>IF(AR$6=MAX(1,'01_가정'!F46-2),'01_가정'!$F$103*(1+'01_가정'!$F$85),0)</f>
        <v>0</v>
      </c>
      <c r="AS32" s="17">
        <f>IF(AS$6=MAX(1,'01_가정'!F46-2),'01_가정'!$F$103*(1+'01_가정'!$F$85),0)</f>
        <v>0</v>
      </c>
    </row>
    <row r="33" spans="1:45" ht="22.95" customHeight="1">
      <c r="A33" s="1"/>
      <c r="B33" s="1"/>
      <c r="C33" s="1" t="s">
        <v>251</v>
      </c>
      <c r="D33" s="1" t="s">
        <v>11</v>
      </c>
      <c r="E33" s="1"/>
      <c r="F33" s="19">
        <f t="shared" si="8"/>
        <v>3472222.2222222225</v>
      </c>
      <c r="G33" s="19">
        <f t="shared" si="9"/>
        <v>8333333.3333333321</v>
      </c>
      <c r="H33" s="19">
        <f t="shared" si="10"/>
        <v>8333333.3333333321</v>
      </c>
      <c r="I33" s="1"/>
      <c r="J33" s="17">
        <f>IF(AND(J$6&gt;=MAX(1,'01_가정'!F46-2),J$6&lt;MAX(1,'01_가정'!F46-2)+'01_가정'!$F$104),'01_가정'!$F$103/'01_가정'!$F$104,0)</f>
        <v>0</v>
      </c>
      <c r="K33" s="17">
        <f>IF(AND(K$6&gt;=MAX(1,'01_가정'!F46-2),K$6&lt;MAX(1,'01_가정'!F46-2)+'01_가정'!$F$104),'01_가정'!$F$103/'01_가정'!$F$104,0)</f>
        <v>0</v>
      </c>
      <c r="L33" s="17">
        <f>IF(AND(L$6&gt;=MAX(1,'01_가정'!F46-2),L$6&lt;MAX(1,'01_가정'!F46-2)+'01_가정'!$F$104),'01_가정'!$F$103/'01_가정'!$F$104,0)</f>
        <v>0</v>
      </c>
      <c r="M33" s="17">
        <f>IF(AND(M$6&gt;=MAX(1,'01_가정'!F46-2),M$6&lt;MAX(1,'01_가정'!F46-2)+'01_가정'!$F$104),'01_가정'!$F$103/'01_가정'!$F$104,0)</f>
        <v>0</v>
      </c>
      <c r="N33" s="17">
        <f>IF(AND(N$6&gt;=MAX(1,'01_가정'!F46-2),N$6&lt;MAX(1,'01_가정'!F46-2)+'01_가정'!$F$104),'01_가정'!$F$103/'01_가정'!$F$104,0)</f>
        <v>0</v>
      </c>
      <c r="O33" s="17">
        <f>IF(AND(O$6&gt;=MAX(1,'01_가정'!F46-2),O$6&lt;MAX(1,'01_가정'!F46-2)+'01_가정'!$F$104),'01_가정'!$F$103/'01_가정'!$F$104,0)</f>
        <v>0</v>
      </c>
      <c r="P33" s="17">
        <f>IF(AND(P$6&gt;=MAX(1,'01_가정'!F46-2),P$6&lt;MAX(1,'01_가정'!F46-2)+'01_가정'!$F$104),'01_가정'!$F$103/'01_가정'!$F$104,0)</f>
        <v>0</v>
      </c>
      <c r="Q33" s="17">
        <f>IF(AND(Q$6&gt;=MAX(1,'01_가정'!F46-2),Q$6&lt;MAX(1,'01_가정'!F46-2)+'01_가정'!$F$104),'01_가정'!$F$103/'01_가정'!$F$104,0)</f>
        <v>694444.4444444445</v>
      </c>
      <c r="R33" s="17">
        <f>IF(AND(R$6&gt;=MAX(1,'01_가정'!F46-2),R$6&lt;MAX(1,'01_가정'!F46-2)+'01_가정'!$F$104),'01_가정'!$F$103/'01_가정'!$F$104,0)</f>
        <v>694444.4444444445</v>
      </c>
      <c r="S33" s="17">
        <f>IF(AND(S$6&gt;=MAX(1,'01_가정'!F46-2),S$6&lt;MAX(1,'01_가정'!F46-2)+'01_가정'!$F$104),'01_가정'!$F$103/'01_가정'!$F$104,0)</f>
        <v>694444.4444444445</v>
      </c>
      <c r="T33" s="17">
        <f>IF(AND(T$6&gt;=MAX(1,'01_가정'!F46-2),T$6&lt;MAX(1,'01_가정'!F46-2)+'01_가정'!$F$104),'01_가정'!$F$103/'01_가정'!$F$104,0)</f>
        <v>694444.4444444445</v>
      </c>
      <c r="U33" s="17">
        <f>IF(AND(U$6&gt;=MAX(1,'01_가정'!F46-2),U$6&lt;MAX(1,'01_가정'!F46-2)+'01_가정'!$F$104),'01_가정'!$F$103/'01_가정'!$F$104,0)</f>
        <v>694444.4444444445</v>
      </c>
      <c r="V33" s="17">
        <f>IF(AND(V$6&gt;=MAX(1,'01_가정'!F46-2),V$6&lt;MAX(1,'01_가정'!F46-2)+'01_가정'!$F$104),'01_가정'!$F$103/'01_가정'!$F$104,0)</f>
        <v>694444.4444444445</v>
      </c>
      <c r="W33" s="17">
        <f>IF(AND(W$6&gt;=MAX(1,'01_가정'!F46-2),W$6&lt;MAX(1,'01_가정'!F46-2)+'01_가정'!$F$104),'01_가정'!$F$103/'01_가정'!$F$104,0)</f>
        <v>694444.4444444445</v>
      </c>
      <c r="X33" s="17">
        <f>IF(AND(X$6&gt;=MAX(1,'01_가정'!F46-2),X$6&lt;MAX(1,'01_가정'!F46-2)+'01_가정'!$F$104),'01_가정'!$F$103/'01_가정'!$F$104,0)</f>
        <v>694444.4444444445</v>
      </c>
      <c r="Y33" s="17">
        <f>IF(AND(Y$6&gt;=MAX(1,'01_가정'!F46-2),Y$6&lt;MAX(1,'01_가정'!F46-2)+'01_가정'!$F$104),'01_가정'!$F$103/'01_가정'!$F$104,0)</f>
        <v>694444.4444444445</v>
      </c>
      <c r="Z33" s="17">
        <f>IF(AND(Z$6&gt;=MAX(1,'01_가정'!F46-2),Z$6&lt;MAX(1,'01_가정'!F46-2)+'01_가정'!$F$104),'01_가정'!$F$103/'01_가정'!$F$104,0)</f>
        <v>694444.4444444445</v>
      </c>
      <c r="AA33" s="17">
        <f>IF(AND(AA$6&gt;=MAX(1,'01_가정'!F46-2),AA$6&lt;MAX(1,'01_가정'!F46-2)+'01_가정'!$F$104),'01_가정'!$F$103/'01_가정'!$F$104,0)</f>
        <v>694444.4444444445</v>
      </c>
      <c r="AB33" s="17">
        <f>IF(AND(AB$6&gt;=MAX(1,'01_가정'!F46-2),AB$6&lt;MAX(1,'01_가정'!F46-2)+'01_가정'!$F$104),'01_가정'!$F$103/'01_가정'!$F$104,0)</f>
        <v>694444.4444444445</v>
      </c>
      <c r="AC33" s="17">
        <f>IF(AND(AC$6&gt;=MAX(1,'01_가정'!F46-2),AC$6&lt;MAX(1,'01_가정'!F46-2)+'01_가정'!$F$104),'01_가정'!$F$103/'01_가정'!$F$104,0)</f>
        <v>694444.4444444445</v>
      </c>
      <c r="AD33" s="17">
        <f>IF(AND(AD$6&gt;=MAX(1,'01_가정'!F46-2),AD$6&lt;MAX(1,'01_가정'!F46-2)+'01_가정'!$F$104),'01_가정'!$F$103/'01_가정'!$F$104,0)</f>
        <v>694444.4444444445</v>
      </c>
      <c r="AE33" s="17">
        <f>IF(AND(AE$6&gt;=MAX(1,'01_가정'!F46-2),AE$6&lt;MAX(1,'01_가정'!F46-2)+'01_가정'!$F$104),'01_가정'!$F$103/'01_가정'!$F$104,0)</f>
        <v>694444.4444444445</v>
      </c>
      <c r="AF33" s="17">
        <f>IF(AND(AF$6&gt;=MAX(1,'01_가정'!F46-2),AF$6&lt;MAX(1,'01_가정'!F46-2)+'01_가정'!$F$104),'01_가정'!$F$103/'01_가정'!$F$104,0)</f>
        <v>694444.4444444445</v>
      </c>
      <c r="AG33" s="17">
        <f>IF(AND(AG$6&gt;=MAX(1,'01_가정'!F46-2),AG$6&lt;MAX(1,'01_가정'!F46-2)+'01_가정'!$F$104),'01_가정'!$F$103/'01_가정'!$F$104,0)</f>
        <v>694444.4444444445</v>
      </c>
      <c r="AH33" s="17">
        <f>IF(AND(AH$6&gt;=MAX(1,'01_가정'!F46-2),AH$6&lt;MAX(1,'01_가정'!F46-2)+'01_가정'!$F$104),'01_가정'!$F$103/'01_가정'!$F$104,0)</f>
        <v>694444.4444444445</v>
      </c>
      <c r="AI33" s="17">
        <f>IF(AND(AI$6&gt;=MAX(1,'01_가정'!F46-2),AI$6&lt;MAX(1,'01_가정'!F46-2)+'01_가정'!$F$104),'01_가정'!$F$103/'01_가정'!$F$104,0)</f>
        <v>694444.4444444445</v>
      </c>
      <c r="AJ33" s="17">
        <f>IF(AND(AJ$6&gt;=MAX(1,'01_가정'!F46-2),AJ$6&lt;MAX(1,'01_가정'!F46-2)+'01_가정'!$F$104),'01_가정'!$F$103/'01_가정'!$F$104,0)</f>
        <v>694444.4444444445</v>
      </c>
      <c r="AK33" s="17">
        <f>IF(AND(AK$6&gt;=MAX(1,'01_가정'!F46-2),AK$6&lt;MAX(1,'01_가정'!F46-2)+'01_가정'!$F$104),'01_가정'!$F$103/'01_가정'!$F$104,0)</f>
        <v>694444.4444444445</v>
      </c>
      <c r="AL33" s="17">
        <f>IF(AND(AL$6&gt;=MAX(1,'01_가정'!F46-2),AL$6&lt;MAX(1,'01_가정'!F46-2)+'01_가정'!$F$104),'01_가정'!$F$103/'01_가정'!$F$104,0)</f>
        <v>694444.4444444445</v>
      </c>
      <c r="AM33" s="17">
        <f>IF(AND(AM$6&gt;=MAX(1,'01_가정'!F46-2),AM$6&lt;MAX(1,'01_가정'!F46-2)+'01_가정'!$F$104),'01_가정'!$F$103/'01_가정'!$F$104,0)</f>
        <v>694444.4444444445</v>
      </c>
      <c r="AN33" s="17">
        <f>IF(AND(AN$6&gt;=MAX(1,'01_가정'!F46-2),AN$6&lt;MAX(1,'01_가정'!F46-2)+'01_가정'!$F$104),'01_가정'!$F$103/'01_가정'!$F$104,0)</f>
        <v>694444.4444444445</v>
      </c>
      <c r="AO33" s="17">
        <f>IF(AND(AO$6&gt;=MAX(1,'01_가정'!F46-2),AO$6&lt;MAX(1,'01_가정'!F46-2)+'01_가정'!$F$104),'01_가정'!$F$103/'01_가정'!$F$104,0)</f>
        <v>694444.4444444445</v>
      </c>
      <c r="AP33" s="17">
        <f>IF(AND(AP$6&gt;=MAX(1,'01_가정'!F46-2),AP$6&lt;MAX(1,'01_가정'!F46-2)+'01_가정'!$F$104),'01_가정'!$F$103/'01_가정'!$F$104,0)</f>
        <v>694444.4444444445</v>
      </c>
      <c r="AQ33" s="17">
        <f>IF(AND(AQ$6&gt;=MAX(1,'01_가정'!F46-2),AQ$6&lt;MAX(1,'01_가정'!F46-2)+'01_가정'!$F$104),'01_가정'!$F$103/'01_가정'!$F$104,0)</f>
        <v>694444.4444444445</v>
      </c>
      <c r="AR33" s="17">
        <f>IF(AND(AR$6&gt;=MAX(1,'01_가정'!F46-2),AR$6&lt;MAX(1,'01_가정'!F46-2)+'01_가정'!$F$104),'01_가정'!$F$103/'01_가정'!$F$104,0)</f>
        <v>694444.4444444445</v>
      </c>
      <c r="AS33" s="17">
        <f>IF(AND(AS$6&gt;=MAX(1,'01_가정'!F46-2),AS$6&lt;MAX(1,'01_가정'!F46-2)+'01_가정'!$F$104),'01_가정'!$F$103/'01_가정'!$F$104,0)</f>
        <v>694444.4444444445</v>
      </c>
    </row>
    <row r="34" spans="1:45" ht="22.95" customHeight="1">
      <c r="A34" s="1"/>
      <c r="B34" s="1"/>
      <c r="C34" s="1" t="s">
        <v>280</v>
      </c>
      <c r="D34" s="1" t="s">
        <v>11</v>
      </c>
      <c r="E34" s="1"/>
      <c r="F34" s="19">
        <f t="shared" si="8"/>
        <v>561216.98181818181</v>
      </c>
      <c r="G34" s="19">
        <f t="shared" si="9"/>
        <v>8530420.1575224213</v>
      </c>
      <c r="H34" s="19">
        <f t="shared" si="10"/>
        <v>18472419.248468325</v>
      </c>
      <c r="I34" s="1"/>
      <c r="J34" s="17">
        <f>'03_월별손익'!J33*'01_가정'!$F$85</f>
        <v>0</v>
      </c>
      <c r="K34" s="17">
        <f>'03_월별손익'!K33*'01_가정'!$F$85</f>
        <v>0</v>
      </c>
      <c r="L34" s="17">
        <f>'03_월별손익'!L33*'01_가정'!$F$85</f>
        <v>0</v>
      </c>
      <c r="M34" s="17">
        <f>'03_월별손익'!M33*'01_가정'!$F$85</f>
        <v>0</v>
      </c>
      <c r="N34" s="17">
        <f>'03_월별손익'!N33*'01_가정'!$F$85</f>
        <v>0</v>
      </c>
      <c r="O34" s="17">
        <f>'03_월별손익'!O33*'01_가정'!$F$85</f>
        <v>0</v>
      </c>
      <c r="P34" s="17">
        <f>'03_월별손익'!P33*'01_가정'!$F$85</f>
        <v>0</v>
      </c>
      <c r="Q34" s="17">
        <f>'03_월별손익'!Q33*'01_가정'!$F$85</f>
        <v>0</v>
      </c>
      <c r="R34" s="17">
        <f>'03_월별손익'!R33*'01_가정'!$F$85</f>
        <v>0</v>
      </c>
      <c r="S34" s="17">
        <f>'03_월별손익'!S33*'01_가정'!$F$85</f>
        <v>119618.18181818182</v>
      </c>
      <c r="T34" s="17">
        <f>'03_월별손익'!T33*'01_가정'!$F$85</f>
        <v>190295.09454545451</v>
      </c>
      <c r="U34" s="17">
        <f>'03_월별손익'!U33*'01_가정'!$F$85</f>
        <v>251303.70545454544</v>
      </c>
      <c r="V34" s="17">
        <f>'03_월별손익'!V33*'01_가정'!$F$85</f>
        <v>694951.59479999996</v>
      </c>
      <c r="W34" s="17">
        <f>'03_월별손익'!W33*'01_가정'!$F$85</f>
        <v>700419.37034399994</v>
      </c>
      <c r="X34" s="17">
        <f>'03_월별손익'!X33*'01_가정'!$F$85</f>
        <v>704684.23526831996</v>
      </c>
      <c r="Y34" s="17">
        <f>'03_월별손익'!Y33*'01_가정'!$F$85</f>
        <v>708010.8299092896</v>
      </c>
      <c r="Z34" s="17">
        <f>'03_월별손익'!Z33*'01_가정'!$F$85</f>
        <v>710605.57372924592</v>
      </c>
      <c r="AA34" s="17">
        <f>'03_월별손익'!AA33*'01_가정'!$F$85</f>
        <v>712629.47390881181</v>
      </c>
      <c r="AB34" s="17">
        <f>'03_월별손익'!AB33*'01_가정'!$F$85</f>
        <v>714208.11604887317</v>
      </c>
      <c r="AC34" s="17">
        <f>'03_월별손익'!AC33*'01_가정'!$F$85</f>
        <v>715439.45691812108</v>
      </c>
      <c r="AD34" s="17">
        <f>'03_월별손익'!AD33*'01_가정'!$F$85</f>
        <v>716399.90279613435</v>
      </c>
      <c r="AE34" s="17">
        <f>'03_월별손익'!AE33*'01_가정'!$F$85</f>
        <v>717149.05058098491</v>
      </c>
      <c r="AF34" s="17">
        <f>'03_월별손익'!AF33*'01_가정'!$F$85</f>
        <v>717733.38585316809</v>
      </c>
      <c r="AG34" s="17">
        <f>'03_월별손익'!AG33*'01_가정'!$F$85</f>
        <v>718189.16736547113</v>
      </c>
      <c r="AH34" s="17">
        <f>'03_월별손익'!AH33*'01_가정'!$F$85</f>
        <v>1505276.0239287405</v>
      </c>
      <c r="AI34" s="17">
        <f>'03_월별손익'!AI33*'01_가정'!$F$85</f>
        <v>1516417.8918702651</v>
      </c>
      <c r="AJ34" s="17">
        <f>'03_월별손익'!AJ33*'01_가정'!$F$85</f>
        <v>1525331.3862234848</v>
      </c>
      <c r="AK34" s="17">
        <f>'03_월별손익'!AK33*'01_가정'!$F$85</f>
        <v>1532462.1817060607</v>
      </c>
      <c r="AL34" s="17">
        <f>'03_월별손익'!AL33*'01_가정'!$F$85</f>
        <v>1538166.8180921213</v>
      </c>
      <c r="AM34" s="17">
        <f>'03_월별손익'!AM33*'01_가정'!$F$85</f>
        <v>1542730.5272009696</v>
      </c>
      <c r="AN34" s="17">
        <f>'03_월별손익'!AN33*'01_가정'!$F$85</f>
        <v>1546381.4944880484</v>
      </c>
      <c r="AO34" s="17">
        <f>'03_월별손익'!AO33*'01_가정'!$F$85</f>
        <v>1549302.2683177115</v>
      </c>
      <c r="AP34" s="17">
        <f>'03_월별손익'!AP33*'01_가정'!$F$85</f>
        <v>1551638.8873814419</v>
      </c>
      <c r="AQ34" s="17">
        <f>'03_월별손익'!AQ33*'01_가정'!$F$85</f>
        <v>1553508.1826324263</v>
      </c>
      <c r="AR34" s="17">
        <f>'03_월별손익'!AR33*'01_가정'!$F$85</f>
        <v>1555003.6188332138</v>
      </c>
      <c r="AS34" s="17">
        <f>'03_월별손익'!AS33*'01_가정'!$F$85</f>
        <v>1556199.9677938437</v>
      </c>
    </row>
    <row r="35" spans="1:45" ht="22.95" customHeight="1">
      <c r="A35" s="1"/>
      <c r="B35" s="1"/>
      <c r="C35" s="1" t="s">
        <v>281</v>
      </c>
      <c r="D35" s="1" t="s">
        <v>11</v>
      </c>
      <c r="E35" s="1"/>
      <c r="F35" s="19">
        <f t="shared" si="8"/>
        <v>12905650.9604</v>
      </c>
      <c r="G35" s="19">
        <f t="shared" si="9"/>
        <v>15388525.648510749</v>
      </c>
      <c r="H35" s="19">
        <f t="shared" si="10"/>
        <v>22968391.438374463</v>
      </c>
      <c r="I35" s="1"/>
      <c r="J35" s="17">
        <f>(J13+(J30+J32)/(1+'01_가정'!$F$85))*'01_가정'!$F$85</f>
        <v>400000</v>
      </c>
      <c r="K35" s="17">
        <f>(K13+(K30+K32)/(1+'01_가정'!$F$85))*'01_가정'!$F$85</f>
        <v>500000</v>
      </c>
      <c r="L35" s="17">
        <f>(L13+(L30+L32)/(1+'01_가정'!$F$85))*'01_가정'!$F$85</f>
        <v>500000</v>
      </c>
      <c r="M35" s="17">
        <f>(M13+(M30+M32)/(1+'01_가정'!$F$85))*'01_가정'!$F$85</f>
        <v>1900000</v>
      </c>
      <c r="N35" s="17">
        <f>(N13+(N30+N32)/(1+'01_가정'!$F$85))*'01_가정'!$F$85</f>
        <v>1700000</v>
      </c>
      <c r="O35" s="17">
        <f>(O13+(O30+O32)/(1+'01_가정'!$F$85))*'01_가정'!$F$85</f>
        <v>1700000</v>
      </c>
      <c r="P35" s="17">
        <f>(P13+(P30+P32)/(1+'01_가정'!$F$85))*'01_가정'!$F$85</f>
        <v>200000</v>
      </c>
      <c r="Q35" s="17">
        <f>(Q13+(Q30+Q32)/(1+'01_가정'!$F$85))*'01_가정'!$F$85</f>
        <v>2700000</v>
      </c>
      <c r="R35" s="17">
        <f>(R13+(R30+R32)/(1+'01_가정'!$F$85))*'01_가정'!$F$85</f>
        <v>200000</v>
      </c>
      <c r="S35" s="17">
        <f>(S13+(S30+S32)/(1+'01_가정'!$F$85))*'01_가정'!$F$85</f>
        <v>2389027.4</v>
      </c>
      <c r="T35" s="17">
        <f>(T13+(T30+T32)/(1+'01_가정'!$F$85))*'01_가정'!$F$85</f>
        <v>335516.97812000004</v>
      </c>
      <c r="U35" s="17">
        <f>(U13+(U30+U32)/(1+'01_가정'!$F$85))*'01_가정'!$F$85</f>
        <v>381106.58228000003</v>
      </c>
      <c r="V35" s="17">
        <f>(V13+(V30+V32)/(1+'01_가정'!$F$85))*'01_가정'!$F$85</f>
        <v>2730961.6014284003</v>
      </c>
      <c r="W35" s="17">
        <f>(W13+(W30+W32)/(1+'01_가정'!$F$85))*'01_가정'!$F$85</f>
        <v>785741.91268535214</v>
      </c>
      <c r="X35" s="17">
        <f>(X13+(X30+X32)/(1+'01_가정'!$F$85))*'01_가정'!$F$85</f>
        <v>789470.55546577461</v>
      </c>
      <c r="Y35" s="17">
        <f>(Y13+(Y30+Y32)/(1+'01_가정'!$F$85))*'01_가정'!$F$85</f>
        <v>792378.89683450421</v>
      </c>
      <c r="Z35" s="17">
        <f>(Z13+(Z30+Z32)/(1+'01_가정'!$F$85))*'01_가정'!$F$85</f>
        <v>794647.40310211328</v>
      </c>
      <c r="AA35" s="17">
        <f>(AA13+(AA30+AA32)/(1+'01_가정'!$F$85))*'01_가정'!$F$85</f>
        <v>796416.83799084835</v>
      </c>
      <c r="AB35" s="17">
        <f>(AB13+(AB30+AB32)/(1+'01_가정'!$F$85))*'01_가정'!$F$85</f>
        <v>2747796.9972040616</v>
      </c>
      <c r="AC35" s="17">
        <f>(AC13+(AC30+AC32)/(1+'01_가정'!$F$85))*'01_가정'!$F$85</f>
        <v>798873.52139036811</v>
      </c>
      <c r="AD35" s="17">
        <f>(AD13+(AD30+AD32)/(1+'01_가정'!$F$85))*'01_가정'!$F$85</f>
        <v>799713.21025568713</v>
      </c>
      <c r="AE35" s="17">
        <f>(AE13+(AE30+AE32)/(1+'01_가정'!$F$85))*'01_가정'!$F$85</f>
        <v>2750368.1675706361</v>
      </c>
      <c r="AF35" s="17">
        <f>(AF13+(AF30+AF32)/(1+'01_가정'!$F$85))*'01_가정'!$F$85</f>
        <v>800879.03427629615</v>
      </c>
      <c r="AG35" s="17">
        <f>(AG13+(AG30+AG32)/(1+'01_가정'!$F$85))*'01_가정'!$F$85</f>
        <v>801277.51030671108</v>
      </c>
      <c r="AH35" s="17">
        <f>(AH13+(AH30+AH32)/(1+'01_가정'!$F$85))*'01_가정'!$F$85</f>
        <v>2935386.3969168281</v>
      </c>
      <c r="AI35" s="17">
        <f>(AI13+(AI30+AI32)/(1+'01_가정'!$F$85))*'01_가정'!$F$85</f>
        <v>1144748.4209334624</v>
      </c>
      <c r="AJ35" s="17">
        <f>(AJ13+(AJ30+AJ32)/(1+'01_가정'!$F$85))*'01_가정'!$F$85</f>
        <v>1152238.04014677</v>
      </c>
      <c r="AK35" s="17">
        <f>(AK13+(AK30+AK32)/(1+'01_가정'!$F$85))*'01_가정'!$F$85</f>
        <v>2958229.7355174161</v>
      </c>
      <c r="AL35" s="17">
        <f>(AL13+(AL30+AL32)/(1+'01_가정'!$F$85))*'01_가정'!$F$85</f>
        <v>1163023.0918139329</v>
      </c>
      <c r="AM35" s="17">
        <f>(AM13+(AM30+AM32)/(1+'01_가정'!$F$85))*'01_가정'!$F$85</f>
        <v>1166857.7768511462</v>
      </c>
      <c r="AN35" s="17">
        <f>(AN13+(AN30+AN32)/(1+'01_가정'!$F$85))*'01_가정'!$F$85</f>
        <v>4769925.5248809177</v>
      </c>
      <c r="AO35" s="17">
        <f>(AO13+(AO30+AO32)/(1+'01_가정'!$F$85))*'01_가정'!$F$85</f>
        <v>1172379.7233047336</v>
      </c>
      <c r="AP35" s="17">
        <f>(AP13+(AP30+AP32)/(1+'01_가정'!$F$85))*'01_가정'!$F$85</f>
        <v>1174343.082043787</v>
      </c>
      <c r="AQ35" s="17">
        <f>(AQ13+(AQ30+AQ32)/(1+'01_가정'!$F$85))*'01_가정'!$F$85</f>
        <v>2975913.7690350297</v>
      </c>
      <c r="AR35" s="17">
        <f>(AR13+(AR30+AR32)/(1+'01_가정'!$F$85))*'01_가정'!$F$85</f>
        <v>1177170.3186280236</v>
      </c>
      <c r="AS35" s="17">
        <f>(AS13+(AS30+AS32)/(1+'01_가정'!$F$85))*'01_가정'!$F$85</f>
        <v>1178175.558302419</v>
      </c>
    </row>
    <row r="36" spans="1:45" ht="22.95" customHeight="1">
      <c r="A36" s="1"/>
      <c r="B36" s="1"/>
      <c r="C36" s="1" t="s">
        <v>282</v>
      </c>
      <c r="D36" s="1" t="s">
        <v>11</v>
      </c>
      <c r="E36" s="1"/>
      <c r="F36" s="19">
        <f>J36</f>
        <v>0</v>
      </c>
      <c r="G36" s="19">
        <f>V36</f>
        <v>-12344433.97858182</v>
      </c>
      <c r="H36" s="19">
        <f>AH36</f>
        <v>-19202539.469570149</v>
      </c>
      <c r="I36" s="1"/>
      <c r="J36" s="19">
        <f>0</f>
        <v>0</v>
      </c>
      <c r="K36" s="19">
        <f t="shared" ref="K36:AS36" si="12">J38</f>
        <v>-400000</v>
      </c>
      <c r="L36" s="19">
        <f t="shared" si="12"/>
        <v>-900000</v>
      </c>
      <c r="M36" s="19">
        <f t="shared" si="12"/>
        <v>-1400000</v>
      </c>
      <c r="N36" s="19">
        <f t="shared" si="12"/>
        <v>-3300000</v>
      </c>
      <c r="O36" s="19">
        <f t="shared" si="12"/>
        <v>-5000000</v>
      </c>
      <c r="P36" s="19">
        <f t="shared" si="12"/>
        <v>-6700000</v>
      </c>
      <c r="Q36" s="19">
        <f t="shared" si="12"/>
        <v>-6900000</v>
      </c>
      <c r="R36" s="19">
        <f t="shared" si="12"/>
        <v>-9600000</v>
      </c>
      <c r="S36" s="19">
        <f t="shared" si="12"/>
        <v>-9800000</v>
      </c>
      <c r="T36" s="19">
        <f t="shared" si="12"/>
        <v>-12069409.218181819</v>
      </c>
      <c r="U36" s="19">
        <f t="shared" si="12"/>
        <v>-12214631.101756364</v>
      </c>
      <c r="V36" s="19">
        <f t="shared" si="12"/>
        <v>-12344433.97858182</v>
      </c>
      <c r="W36" s="19">
        <f t="shared" si="12"/>
        <v>-14380443.985210221</v>
      </c>
      <c r="X36" s="19">
        <f t="shared" si="12"/>
        <v>-14465766.527551573</v>
      </c>
      <c r="Y36" s="19">
        <f t="shared" si="12"/>
        <v>-14550552.847749026</v>
      </c>
      <c r="Z36" s="19">
        <f t="shared" si="12"/>
        <v>-14634920.914674241</v>
      </c>
      <c r="AA36" s="19">
        <f t="shared" si="12"/>
        <v>-14718962.744047107</v>
      </c>
      <c r="AB36" s="19">
        <f t="shared" si="12"/>
        <v>-14802750.108129144</v>
      </c>
      <c r="AC36" s="19">
        <f t="shared" si="12"/>
        <v>-16836338.989284333</v>
      </c>
      <c r="AD36" s="19">
        <f t="shared" si="12"/>
        <v>-16919773.05375658</v>
      </c>
      <c r="AE36" s="19">
        <f t="shared" si="12"/>
        <v>-17003086.361216132</v>
      </c>
      <c r="AF36" s="19">
        <f t="shared" si="12"/>
        <v>-19036305.478205781</v>
      </c>
      <c r="AG36" s="19">
        <f t="shared" si="12"/>
        <v>-19119451.126628909</v>
      </c>
      <c r="AH36" s="19">
        <f t="shared" si="12"/>
        <v>-19202539.469570149</v>
      </c>
      <c r="AI36" s="19">
        <f t="shared" si="12"/>
        <v>-20632649.842558239</v>
      </c>
      <c r="AJ36" s="19">
        <f t="shared" si="12"/>
        <v>-20260980.371621437</v>
      </c>
      <c r="AK36" s="19">
        <f t="shared" si="12"/>
        <v>-19887887.025544725</v>
      </c>
      <c r="AL36" s="19">
        <f t="shared" si="12"/>
        <v>-21313654.579356082</v>
      </c>
      <c r="AM36" s="19">
        <f t="shared" si="12"/>
        <v>-20938510.853077892</v>
      </c>
      <c r="AN36" s="19">
        <f t="shared" si="12"/>
        <v>-20562638.102728069</v>
      </c>
      <c r="AO36" s="19">
        <f t="shared" si="12"/>
        <v>-23786182.133120939</v>
      </c>
      <c r="AP36" s="19">
        <f t="shared" si="12"/>
        <v>-23409259.588107962</v>
      </c>
      <c r="AQ36" s="19">
        <f t="shared" si="12"/>
        <v>-23031963.782770306</v>
      </c>
      <c r="AR36" s="19">
        <f t="shared" si="12"/>
        <v>-24454369.369172908</v>
      </c>
      <c r="AS36" s="19">
        <f t="shared" si="12"/>
        <v>-24076536.068967719</v>
      </c>
    </row>
    <row r="37" spans="1:45" ht="22.95" customHeight="1">
      <c r="A37" s="1"/>
      <c r="B37" s="1"/>
      <c r="C37" s="1" t="s">
        <v>283</v>
      </c>
      <c r="D37" s="1" t="s">
        <v>11</v>
      </c>
      <c r="E37" s="1"/>
      <c r="F37" s="19">
        <f>SUM(J37:U37)</f>
        <v>0</v>
      </c>
      <c r="G37" s="19">
        <f>SUM(V37:AG37)</f>
        <v>0</v>
      </c>
      <c r="H37" s="19">
        <f>SUM(AH37:AS37)</f>
        <v>0</v>
      </c>
      <c r="I37" s="1"/>
      <c r="J37" s="19">
        <f t="shared" ref="J37:AS37" si="13">IF(AND(J$6&gt;1,MOD(MONTH(J$5)-1,3)=0),MAX(0,J36),0)</f>
        <v>0</v>
      </c>
      <c r="K37" s="19">
        <f t="shared" si="13"/>
        <v>0</v>
      </c>
      <c r="L37" s="19">
        <f t="shared" si="13"/>
        <v>0</v>
      </c>
      <c r="M37" s="19">
        <f t="shared" si="13"/>
        <v>0</v>
      </c>
      <c r="N37" s="19">
        <f t="shared" si="13"/>
        <v>0</v>
      </c>
      <c r="O37" s="19">
        <f t="shared" si="13"/>
        <v>0</v>
      </c>
      <c r="P37" s="19">
        <f t="shared" si="13"/>
        <v>0</v>
      </c>
      <c r="Q37" s="19">
        <f t="shared" si="13"/>
        <v>0</v>
      </c>
      <c r="R37" s="19">
        <f t="shared" si="13"/>
        <v>0</v>
      </c>
      <c r="S37" s="19">
        <f t="shared" si="13"/>
        <v>0</v>
      </c>
      <c r="T37" s="19">
        <f t="shared" si="13"/>
        <v>0</v>
      </c>
      <c r="U37" s="19">
        <f t="shared" si="13"/>
        <v>0</v>
      </c>
      <c r="V37" s="19">
        <f t="shared" si="13"/>
        <v>0</v>
      </c>
      <c r="W37" s="19">
        <f t="shared" si="13"/>
        <v>0</v>
      </c>
      <c r="X37" s="19">
        <f t="shared" si="13"/>
        <v>0</v>
      </c>
      <c r="Y37" s="19">
        <f t="shared" si="13"/>
        <v>0</v>
      </c>
      <c r="Z37" s="19">
        <f t="shared" si="13"/>
        <v>0</v>
      </c>
      <c r="AA37" s="19">
        <f t="shared" si="13"/>
        <v>0</v>
      </c>
      <c r="AB37" s="19">
        <f t="shared" si="13"/>
        <v>0</v>
      </c>
      <c r="AC37" s="19">
        <f t="shared" si="13"/>
        <v>0</v>
      </c>
      <c r="AD37" s="19">
        <f t="shared" si="13"/>
        <v>0</v>
      </c>
      <c r="AE37" s="19">
        <f t="shared" si="13"/>
        <v>0</v>
      </c>
      <c r="AF37" s="19">
        <f t="shared" si="13"/>
        <v>0</v>
      </c>
      <c r="AG37" s="19">
        <f t="shared" si="13"/>
        <v>0</v>
      </c>
      <c r="AH37" s="19">
        <f t="shared" si="13"/>
        <v>0</v>
      </c>
      <c r="AI37" s="19">
        <f t="shared" si="13"/>
        <v>0</v>
      </c>
      <c r="AJ37" s="19">
        <f t="shared" si="13"/>
        <v>0</v>
      </c>
      <c r="AK37" s="19">
        <f t="shared" si="13"/>
        <v>0</v>
      </c>
      <c r="AL37" s="19">
        <f t="shared" si="13"/>
        <v>0</v>
      </c>
      <c r="AM37" s="19">
        <f t="shared" si="13"/>
        <v>0</v>
      </c>
      <c r="AN37" s="19">
        <f t="shared" si="13"/>
        <v>0</v>
      </c>
      <c r="AO37" s="19">
        <f t="shared" si="13"/>
        <v>0</v>
      </c>
      <c r="AP37" s="19">
        <f t="shared" si="13"/>
        <v>0</v>
      </c>
      <c r="AQ37" s="19">
        <f t="shared" si="13"/>
        <v>0</v>
      </c>
      <c r="AR37" s="19">
        <f t="shared" si="13"/>
        <v>0</v>
      </c>
      <c r="AS37" s="19">
        <f t="shared" si="13"/>
        <v>0</v>
      </c>
    </row>
    <row r="38" spans="1:45" ht="22.95" customHeight="1">
      <c r="A38" s="1"/>
      <c r="B38" s="1"/>
      <c r="C38" s="1" t="s">
        <v>284</v>
      </c>
      <c r="D38" s="1" t="s">
        <v>11</v>
      </c>
      <c r="E38" s="1"/>
      <c r="F38" s="19">
        <f>U38</f>
        <v>-12344433.97858182</v>
      </c>
      <c r="G38" s="19">
        <f>AG38</f>
        <v>-19202539.469570149</v>
      </c>
      <c r="H38" s="19">
        <f>AS38</f>
        <v>-23698511.659476291</v>
      </c>
      <c r="I38" s="1"/>
      <c r="J38" s="19">
        <f t="shared" ref="J38:AS38" si="14">J36+J34-J35-J37</f>
        <v>-400000</v>
      </c>
      <c r="K38" s="19">
        <f t="shared" si="14"/>
        <v>-900000</v>
      </c>
      <c r="L38" s="19">
        <f t="shared" si="14"/>
        <v>-1400000</v>
      </c>
      <c r="M38" s="19">
        <f t="shared" si="14"/>
        <v>-3300000</v>
      </c>
      <c r="N38" s="19">
        <f t="shared" si="14"/>
        <v>-5000000</v>
      </c>
      <c r="O38" s="19">
        <f t="shared" si="14"/>
        <v>-6700000</v>
      </c>
      <c r="P38" s="19">
        <f t="shared" si="14"/>
        <v>-6900000</v>
      </c>
      <c r="Q38" s="19">
        <f t="shared" si="14"/>
        <v>-9600000</v>
      </c>
      <c r="R38" s="19">
        <f t="shared" si="14"/>
        <v>-9800000</v>
      </c>
      <c r="S38" s="19">
        <f t="shared" si="14"/>
        <v>-12069409.218181819</v>
      </c>
      <c r="T38" s="19">
        <f t="shared" si="14"/>
        <v>-12214631.101756364</v>
      </c>
      <c r="U38" s="19">
        <f t="shared" si="14"/>
        <v>-12344433.97858182</v>
      </c>
      <c r="V38" s="19">
        <f t="shared" si="14"/>
        <v>-14380443.985210221</v>
      </c>
      <c r="W38" s="19">
        <f t="shared" si="14"/>
        <v>-14465766.527551573</v>
      </c>
      <c r="X38" s="19">
        <f t="shared" si="14"/>
        <v>-14550552.847749026</v>
      </c>
      <c r="Y38" s="19">
        <f t="shared" si="14"/>
        <v>-14634920.914674241</v>
      </c>
      <c r="Z38" s="19">
        <f t="shared" si="14"/>
        <v>-14718962.744047107</v>
      </c>
      <c r="AA38" s="19">
        <f t="shared" si="14"/>
        <v>-14802750.108129144</v>
      </c>
      <c r="AB38" s="19">
        <f t="shared" si="14"/>
        <v>-16836338.989284333</v>
      </c>
      <c r="AC38" s="19">
        <f t="shared" si="14"/>
        <v>-16919773.05375658</v>
      </c>
      <c r="AD38" s="19">
        <f t="shared" si="14"/>
        <v>-17003086.361216132</v>
      </c>
      <c r="AE38" s="19">
        <f t="shared" si="14"/>
        <v>-19036305.478205781</v>
      </c>
      <c r="AF38" s="19">
        <f t="shared" si="14"/>
        <v>-19119451.126628909</v>
      </c>
      <c r="AG38" s="19">
        <f t="shared" si="14"/>
        <v>-19202539.469570149</v>
      </c>
      <c r="AH38" s="19">
        <f t="shared" si="14"/>
        <v>-20632649.842558239</v>
      </c>
      <c r="AI38" s="19">
        <f t="shared" si="14"/>
        <v>-20260980.371621437</v>
      </c>
      <c r="AJ38" s="19">
        <f t="shared" si="14"/>
        <v>-19887887.025544725</v>
      </c>
      <c r="AK38" s="19">
        <f t="shared" si="14"/>
        <v>-21313654.579356082</v>
      </c>
      <c r="AL38" s="19">
        <f t="shared" si="14"/>
        <v>-20938510.853077892</v>
      </c>
      <c r="AM38" s="19">
        <f t="shared" si="14"/>
        <v>-20562638.102728069</v>
      </c>
      <c r="AN38" s="19">
        <f t="shared" si="14"/>
        <v>-23786182.133120939</v>
      </c>
      <c r="AO38" s="19">
        <f t="shared" si="14"/>
        <v>-23409259.588107962</v>
      </c>
      <c r="AP38" s="19">
        <f t="shared" si="14"/>
        <v>-23031963.782770306</v>
      </c>
      <c r="AQ38" s="19">
        <f t="shared" si="14"/>
        <v>-24454369.369172908</v>
      </c>
      <c r="AR38" s="19">
        <f t="shared" si="14"/>
        <v>-24076536.068967719</v>
      </c>
      <c r="AS38" s="19">
        <f t="shared" si="14"/>
        <v>-23698511.659476291</v>
      </c>
    </row>
    <row r="39" spans="1:45" ht="22.95" customHeight="1">
      <c r="A39" s="1"/>
      <c r="B39" s="1"/>
      <c r="C39" s="8" t="s">
        <v>285</v>
      </c>
      <c r="D39" s="8" t="s">
        <v>11</v>
      </c>
      <c r="E39" s="8"/>
      <c r="F39" s="9">
        <f>SUM(J39:U39)</f>
        <v>314687160.56440002</v>
      </c>
      <c r="G39" s="9">
        <f>SUM(V39:AG39)</f>
        <v>337648782.1336183</v>
      </c>
      <c r="H39" s="9">
        <f>SUM(AH39:AS39)</f>
        <v>422752305.82211912</v>
      </c>
      <c r="I39" s="8"/>
      <c r="J39" s="9">
        <f t="shared" ref="J39:AS39" si="15">SUM(J23,J30:J32,J37)</f>
        <v>17900000</v>
      </c>
      <c r="K39" s="9">
        <f t="shared" si="15"/>
        <v>19000000</v>
      </c>
      <c r="L39" s="9">
        <f t="shared" si="15"/>
        <v>19000000</v>
      </c>
      <c r="M39" s="9">
        <f t="shared" si="15"/>
        <v>34400000</v>
      </c>
      <c r="N39" s="9">
        <f t="shared" si="15"/>
        <v>32200000</v>
      </c>
      <c r="O39" s="9">
        <f t="shared" si="15"/>
        <v>32200000</v>
      </c>
      <c r="P39" s="9">
        <f t="shared" si="15"/>
        <v>15700000</v>
      </c>
      <c r="Q39" s="9">
        <f t="shared" si="15"/>
        <v>54750000</v>
      </c>
      <c r="R39" s="9">
        <f t="shared" si="15"/>
        <v>15700000</v>
      </c>
      <c r="S39" s="9">
        <f t="shared" si="15"/>
        <v>28229301.400000002</v>
      </c>
      <c r="T39" s="9">
        <f t="shared" si="15"/>
        <v>27915686.759319998</v>
      </c>
      <c r="U39" s="9">
        <f t="shared" si="15"/>
        <v>17692172.405080002</v>
      </c>
      <c r="V39" s="9">
        <f t="shared" si="15"/>
        <v>33415577.615712401</v>
      </c>
      <c r="W39" s="9">
        <f t="shared" si="15"/>
        <v>22743161.039538875</v>
      </c>
      <c r="X39" s="9">
        <f t="shared" si="15"/>
        <v>22784176.110123523</v>
      </c>
      <c r="Y39" s="9">
        <f t="shared" si="15"/>
        <v>22816167.865179546</v>
      </c>
      <c r="Z39" s="9">
        <f t="shared" si="15"/>
        <v>33566121.434123248</v>
      </c>
      <c r="AA39" s="9">
        <f t="shared" si="15"/>
        <v>22860585.21789933</v>
      </c>
      <c r="AB39" s="9">
        <f t="shared" si="15"/>
        <v>33600766.969244681</v>
      </c>
      <c r="AC39" s="9">
        <f t="shared" si="15"/>
        <v>33612608.735294051</v>
      </c>
      <c r="AD39" s="9">
        <f t="shared" si="15"/>
        <v>22896845.312812559</v>
      </c>
      <c r="AE39" s="9">
        <f t="shared" si="15"/>
        <v>33629049.843276992</v>
      </c>
      <c r="AF39" s="9">
        <f t="shared" si="15"/>
        <v>32809669.377039257</v>
      </c>
      <c r="AG39" s="9">
        <f t="shared" si="15"/>
        <v>22914052.613373823</v>
      </c>
      <c r="AH39" s="9">
        <f t="shared" si="15"/>
        <v>37389250.366085112</v>
      </c>
      <c r="AI39" s="9">
        <f t="shared" si="15"/>
        <v>37492232.630268082</v>
      </c>
      <c r="AJ39" s="9">
        <f t="shared" si="15"/>
        <v>27674618.441614471</v>
      </c>
      <c r="AK39" s="9">
        <f t="shared" si="15"/>
        <v>37640527.090691574</v>
      </c>
      <c r="AL39" s="9">
        <f t="shared" si="15"/>
        <v>47593254.00995326</v>
      </c>
      <c r="AM39" s="9">
        <f t="shared" si="15"/>
        <v>27835435.54536261</v>
      </c>
      <c r="AN39" s="9">
        <f t="shared" si="15"/>
        <v>47669180.77369009</v>
      </c>
      <c r="AO39" s="9">
        <f t="shared" si="15"/>
        <v>37796176.95635207</v>
      </c>
      <c r="AP39" s="9">
        <f t="shared" si="15"/>
        <v>27917773.902481657</v>
      </c>
      <c r="AQ39" s="9">
        <f t="shared" si="15"/>
        <v>37835051.459385321</v>
      </c>
      <c r="AR39" s="9">
        <f t="shared" si="15"/>
        <v>27948873.50490826</v>
      </c>
      <c r="AS39" s="9">
        <f t="shared" si="15"/>
        <v>27959931.141326606</v>
      </c>
    </row>
    <row r="40" spans="1:45" ht="22.95" customHeight="1">
      <c r="A40" s="1"/>
      <c r="B40" s="1"/>
      <c r="C40" s="8" t="s">
        <v>286</v>
      </c>
      <c r="D40" s="8" t="s">
        <v>11</v>
      </c>
      <c r="E40" s="8"/>
      <c r="F40" s="9">
        <f>SUM(J40:U40)</f>
        <v>-308513773.76440006</v>
      </c>
      <c r="G40" s="9">
        <f>SUM(V40:AG40)</f>
        <v>-243814160.40087163</v>
      </c>
      <c r="H40" s="9">
        <f>SUM(AH40:AS40)</f>
        <v>-219555694.0889675</v>
      </c>
      <c r="I40" s="8"/>
      <c r="J40" s="9">
        <f t="shared" ref="J40:AS40" si="16">J29-J39</f>
        <v>-17900000</v>
      </c>
      <c r="K40" s="9">
        <f t="shared" si="16"/>
        <v>-19000000</v>
      </c>
      <c r="L40" s="9">
        <f t="shared" si="16"/>
        <v>-19000000</v>
      </c>
      <c r="M40" s="9">
        <f t="shared" si="16"/>
        <v>-34400000</v>
      </c>
      <c r="N40" s="9">
        <f t="shared" si="16"/>
        <v>-32200000</v>
      </c>
      <c r="O40" s="9">
        <f t="shared" si="16"/>
        <v>-32200000</v>
      </c>
      <c r="P40" s="9">
        <f t="shared" si="16"/>
        <v>-15700000</v>
      </c>
      <c r="Q40" s="9">
        <f t="shared" si="16"/>
        <v>-54750000</v>
      </c>
      <c r="R40" s="9">
        <f t="shared" si="16"/>
        <v>-15700000</v>
      </c>
      <c r="S40" s="9">
        <f t="shared" si="16"/>
        <v>-26913501.400000002</v>
      </c>
      <c r="T40" s="9">
        <f t="shared" si="16"/>
        <v>-25822440.719319999</v>
      </c>
      <c r="U40" s="9">
        <f t="shared" si="16"/>
        <v>-14927831.645080002</v>
      </c>
      <c r="V40" s="9">
        <f t="shared" si="16"/>
        <v>-25771110.072912402</v>
      </c>
      <c r="W40" s="9">
        <f t="shared" si="16"/>
        <v>-15038547.965754874</v>
      </c>
      <c r="X40" s="9">
        <f t="shared" si="16"/>
        <v>-15032649.522172002</v>
      </c>
      <c r="Y40" s="9">
        <f t="shared" si="16"/>
        <v>-15028048.736177361</v>
      </c>
      <c r="Z40" s="9">
        <f t="shared" si="16"/>
        <v>-25749460.123101544</v>
      </c>
      <c r="AA40" s="9">
        <f t="shared" si="16"/>
        <v>-15021661.0049024</v>
      </c>
      <c r="AB40" s="9">
        <f t="shared" si="16"/>
        <v>-25744477.692707077</v>
      </c>
      <c r="AC40" s="9">
        <f t="shared" si="16"/>
        <v>-25742774.70919472</v>
      </c>
      <c r="AD40" s="9">
        <f t="shared" si="16"/>
        <v>-15016446.382055081</v>
      </c>
      <c r="AE40" s="9">
        <f t="shared" si="16"/>
        <v>-25740410.286886159</v>
      </c>
      <c r="AF40" s="9">
        <f t="shared" si="16"/>
        <v>-24914602.132654406</v>
      </c>
      <c r="AG40" s="9">
        <f t="shared" si="16"/>
        <v>-15013971.77235364</v>
      </c>
      <c r="AH40" s="9">
        <f t="shared" si="16"/>
        <v>-20831214.102868967</v>
      </c>
      <c r="AI40" s="9">
        <f t="shared" si="16"/>
        <v>-20811635.819695167</v>
      </c>
      <c r="AJ40" s="9">
        <f t="shared" si="16"/>
        <v>-10895973.193156138</v>
      </c>
      <c r="AK40" s="9">
        <f t="shared" si="16"/>
        <v>-20783443.091924906</v>
      </c>
      <c r="AL40" s="9">
        <f t="shared" si="16"/>
        <v>-30673419.010939926</v>
      </c>
      <c r="AM40" s="9">
        <f t="shared" si="16"/>
        <v>-10865399.746151943</v>
      </c>
      <c r="AN40" s="9">
        <f t="shared" si="16"/>
        <v>-30658984.334321555</v>
      </c>
      <c r="AO40" s="9">
        <f t="shared" si="16"/>
        <v>-20753852.004857242</v>
      </c>
      <c r="AP40" s="9">
        <f t="shared" si="16"/>
        <v>-10849746.141285796</v>
      </c>
      <c r="AQ40" s="9">
        <f t="shared" si="16"/>
        <v>-20746461.450428631</v>
      </c>
      <c r="AR40" s="9">
        <f t="shared" si="16"/>
        <v>-10843833.697742909</v>
      </c>
      <c r="AS40" s="9">
        <f t="shared" si="16"/>
        <v>-10841731.495594326</v>
      </c>
    </row>
    <row r="41" spans="1:45" ht="22.95" customHeight="1">
      <c r="A41" s="1"/>
      <c r="B41" s="1"/>
      <c r="C41" s="1" t="s">
        <v>287</v>
      </c>
      <c r="D41" s="1" t="s">
        <v>11</v>
      </c>
      <c r="E41" s="1"/>
      <c r="F41" s="19">
        <f>SUM(J41:U41)</f>
        <v>300000000</v>
      </c>
      <c r="G41" s="19">
        <f>SUM(V41:AG41)</f>
        <v>0</v>
      </c>
      <c r="H41" s="19">
        <f>SUM(AH41:AS41)</f>
        <v>0</v>
      </c>
      <c r="I41" s="1"/>
      <c r="J41" s="17">
        <f>'01_가정'!$F$105</f>
        <v>300000000</v>
      </c>
      <c r="K41" s="19">
        <f>0</f>
        <v>0</v>
      </c>
      <c r="L41" s="19">
        <f>0</f>
        <v>0</v>
      </c>
      <c r="M41" s="19">
        <f>0</f>
        <v>0</v>
      </c>
      <c r="N41" s="19">
        <f>0</f>
        <v>0</v>
      </c>
      <c r="O41" s="19">
        <f>0</f>
        <v>0</v>
      </c>
      <c r="P41" s="19">
        <f>0</f>
        <v>0</v>
      </c>
      <c r="Q41" s="19">
        <f>0</f>
        <v>0</v>
      </c>
      <c r="R41" s="19">
        <f>0</f>
        <v>0</v>
      </c>
      <c r="S41" s="19">
        <f>0</f>
        <v>0</v>
      </c>
      <c r="T41" s="19">
        <f>0</f>
        <v>0</v>
      </c>
      <c r="U41" s="19">
        <f>0</f>
        <v>0</v>
      </c>
      <c r="V41" s="19">
        <f>0</f>
        <v>0</v>
      </c>
      <c r="W41" s="19">
        <f>0</f>
        <v>0</v>
      </c>
      <c r="X41" s="19">
        <f>0</f>
        <v>0</v>
      </c>
      <c r="Y41" s="19">
        <f>0</f>
        <v>0</v>
      </c>
      <c r="Z41" s="19">
        <f>0</f>
        <v>0</v>
      </c>
      <c r="AA41" s="19">
        <f>0</f>
        <v>0</v>
      </c>
      <c r="AB41" s="19">
        <f>0</f>
        <v>0</v>
      </c>
      <c r="AC41" s="19">
        <f>0</f>
        <v>0</v>
      </c>
      <c r="AD41" s="19">
        <f>0</f>
        <v>0</v>
      </c>
      <c r="AE41" s="19">
        <f>0</f>
        <v>0</v>
      </c>
      <c r="AF41" s="19">
        <f>0</f>
        <v>0</v>
      </c>
      <c r="AG41" s="19">
        <f>0</f>
        <v>0</v>
      </c>
      <c r="AH41" s="19">
        <f>0</f>
        <v>0</v>
      </c>
      <c r="AI41" s="19">
        <f>0</f>
        <v>0</v>
      </c>
      <c r="AJ41" s="19">
        <f>0</f>
        <v>0</v>
      </c>
      <c r="AK41" s="19">
        <f>0</f>
        <v>0</v>
      </c>
      <c r="AL41" s="19">
        <f>0</f>
        <v>0</v>
      </c>
      <c r="AM41" s="19">
        <f>0</f>
        <v>0</v>
      </c>
      <c r="AN41" s="19">
        <f>0</f>
        <v>0</v>
      </c>
      <c r="AO41" s="19">
        <f>0</f>
        <v>0</v>
      </c>
      <c r="AP41" s="19">
        <f>0</f>
        <v>0</v>
      </c>
      <c r="AQ41" s="19">
        <f>0</f>
        <v>0</v>
      </c>
      <c r="AR41" s="19">
        <f>0</f>
        <v>0</v>
      </c>
      <c r="AS41" s="19">
        <f>0</f>
        <v>0</v>
      </c>
    </row>
    <row r="42" spans="1:45" ht="22.95" customHeight="1">
      <c r="A42" s="1"/>
      <c r="B42" s="1"/>
      <c r="C42" s="1" t="s">
        <v>288</v>
      </c>
      <c r="D42" s="1" t="s">
        <v>11</v>
      </c>
      <c r="E42" s="1"/>
      <c r="F42" s="19">
        <f>J42</f>
        <v>0</v>
      </c>
      <c r="G42" s="19">
        <f>V42</f>
        <v>-8513773.7644000035</v>
      </c>
      <c r="H42" s="19">
        <f>AH42</f>
        <v>-252327934.16527164</v>
      </c>
      <c r="I42" s="1"/>
      <c r="J42" s="19">
        <f>0</f>
        <v>0</v>
      </c>
      <c r="K42" s="19">
        <f t="shared" ref="K42:AS42" si="17">J43</f>
        <v>282100000</v>
      </c>
      <c r="L42" s="19">
        <f t="shared" si="17"/>
        <v>263100000</v>
      </c>
      <c r="M42" s="19">
        <f t="shared" si="17"/>
        <v>244100000</v>
      </c>
      <c r="N42" s="19">
        <f t="shared" si="17"/>
        <v>209700000</v>
      </c>
      <c r="O42" s="19">
        <f t="shared" si="17"/>
        <v>177500000</v>
      </c>
      <c r="P42" s="19">
        <f t="shared" si="17"/>
        <v>145300000</v>
      </c>
      <c r="Q42" s="19">
        <f t="shared" si="17"/>
        <v>129600000</v>
      </c>
      <c r="R42" s="19">
        <f t="shared" si="17"/>
        <v>74850000</v>
      </c>
      <c r="S42" s="19">
        <f t="shared" si="17"/>
        <v>59150000</v>
      </c>
      <c r="T42" s="19">
        <f t="shared" si="17"/>
        <v>32236498.599999998</v>
      </c>
      <c r="U42" s="19">
        <f t="shared" si="17"/>
        <v>6414057.8806799985</v>
      </c>
      <c r="V42" s="19">
        <f t="shared" si="17"/>
        <v>-8513773.7644000035</v>
      </c>
      <c r="W42" s="19">
        <f t="shared" si="17"/>
        <v>-34284883.837312408</v>
      </c>
      <c r="X42" s="19">
        <f t="shared" si="17"/>
        <v>-49323431.803067282</v>
      </c>
      <c r="Y42" s="19">
        <f t="shared" si="17"/>
        <v>-64356081.325239286</v>
      </c>
      <c r="Z42" s="19">
        <f t="shared" si="17"/>
        <v>-79384130.061416641</v>
      </c>
      <c r="AA42" s="19">
        <f t="shared" si="17"/>
        <v>-105133590.18451819</v>
      </c>
      <c r="AB42" s="19">
        <f t="shared" si="17"/>
        <v>-120155251.18942058</v>
      </c>
      <c r="AC42" s="19">
        <f t="shared" si="17"/>
        <v>-145899728.88212764</v>
      </c>
      <c r="AD42" s="19">
        <f t="shared" si="17"/>
        <v>-171642503.59132236</v>
      </c>
      <c r="AE42" s="19">
        <f t="shared" si="17"/>
        <v>-186658949.97337744</v>
      </c>
      <c r="AF42" s="19">
        <f t="shared" si="17"/>
        <v>-212399360.26026359</v>
      </c>
      <c r="AG42" s="19">
        <f t="shared" si="17"/>
        <v>-237313962.39291799</v>
      </c>
      <c r="AH42" s="19">
        <f t="shared" si="17"/>
        <v>-252327934.16527164</v>
      </c>
      <c r="AI42" s="19">
        <f t="shared" si="17"/>
        <v>-273159148.26814061</v>
      </c>
      <c r="AJ42" s="19">
        <f t="shared" si="17"/>
        <v>-293970784.08783579</v>
      </c>
      <c r="AK42" s="19">
        <f t="shared" si="17"/>
        <v>-304866757.28099191</v>
      </c>
      <c r="AL42" s="19">
        <f t="shared" si="17"/>
        <v>-325650200.37291682</v>
      </c>
      <c r="AM42" s="19">
        <f t="shared" si="17"/>
        <v>-356323619.38385677</v>
      </c>
      <c r="AN42" s="19">
        <f t="shared" si="17"/>
        <v>-367189019.1300087</v>
      </c>
      <c r="AO42" s="19">
        <f t="shared" si="17"/>
        <v>-397848003.46433026</v>
      </c>
      <c r="AP42" s="19">
        <f t="shared" si="17"/>
        <v>-418601855.4691875</v>
      </c>
      <c r="AQ42" s="19">
        <f t="shared" si="17"/>
        <v>-429451601.61047328</v>
      </c>
      <c r="AR42" s="19">
        <f t="shared" si="17"/>
        <v>-450198063.06090188</v>
      </c>
      <c r="AS42" s="19">
        <f t="shared" si="17"/>
        <v>-461041896.75864482</v>
      </c>
    </row>
    <row r="43" spans="1:45" ht="22.95" customHeight="1">
      <c r="A43" s="1"/>
      <c r="B43" s="1"/>
      <c r="C43" s="8" t="s">
        <v>17</v>
      </c>
      <c r="D43" s="8" t="s">
        <v>11</v>
      </c>
      <c r="E43" s="8"/>
      <c r="F43" s="9">
        <f>U43</f>
        <v>-8513773.7644000035</v>
      </c>
      <c r="G43" s="9">
        <f>AG43</f>
        <v>-252327934.16527164</v>
      </c>
      <c r="H43" s="9">
        <f>AS43</f>
        <v>-471883628.25423914</v>
      </c>
      <c r="I43" s="8"/>
      <c r="J43" s="9">
        <f t="shared" ref="J43:AS43" si="18">SUM(J40:J42)</f>
        <v>282100000</v>
      </c>
      <c r="K43" s="9">
        <f t="shared" si="18"/>
        <v>263100000</v>
      </c>
      <c r="L43" s="9">
        <f t="shared" si="18"/>
        <v>244100000</v>
      </c>
      <c r="M43" s="9">
        <f t="shared" si="18"/>
        <v>209700000</v>
      </c>
      <c r="N43" s="9">
        <f t="shared" si="18"/>
        <v>177500000</v>
      </c>
      <c r="O43" s="9">
        <f t="shared" si="18"/>
        <v>145300000</v>
      </c>
      <c r="P43" s="9">
        <f t="shared" si="18"/>
        <v>129600000</v>
      </c>
      <c r="Q43" s="9">
        <f t="shared" si="18"/>
        <v>74850000</v>
      </c>
      <c r="R43" s="9">
        <f t="shared" si="18"/>
        <v>59150000</v>
      </c>
      <c r="S43" s="9">
        <f t="shared" si="18"/>
        <v>32236498.599999998</v>
      </c>
      <c r="T43" s="9">
        <f t="shared" si="18"/>
        <v>6414057.8806799985</v>
      </c>
      <c r="U43" s="9">
        <f t="shared" si="18"/>
        <v>-8513773.7644000035</v>
      </c>
      <c r="V43" s="9">
        <f t="shared" si="18"/>
        <v>-34284883.837312408</v>
      </c>
      <c r="W43" s="9">
        <f t="shared" si="18"/>
        <v>-49323431.803067282</v>
      </c>
      <c r="X43" s="9">
        <f t="shared" si="18"/>
        <v>-64356081.325239286</v>
      </c>
      <c r="Y43" s="9">
        <f t="shared" si="18"/>
        <v>-79384130.061416641</v>
      </c>
      <c r="Z43" s="9">
        <f t="shared" si="18"/>
        <v>-105133590.18451819</v>
      </c>
      <c r="AA43" s="9">
        <f t="shared" si="18"/>
        <v>-120155251.18942058</v>
      </c>
      <c r="AB43" s="9">
        <f t="shared" si="18"/>
        <v>-145899728.88212764</v>
      </c>
      <c r="AC43" s="9">
        <f t="shared" si="18"/>
        <v>-171642503.59132236</v>
      </c>
      <c r="AD43" s="9">
        <f t="shared" si="18"/>
        <v>-186658949.97337744</v>
      </c>
      <c r="AE43" s="9">
        <f t="shared" si="18"/>
        <v>-212399360.26026359</v>
      </c>
      <c r="AF43" s="9">
        <f t="shared" si="18"/>
        <v>-237313962.39291799</v>
      </c>
      <c r="AG43" s="9">
        <f t="shared" si="18"/>
        <v>-252327934.16527164</v>
      </c>
      <c r="AH43" s="9">
        <f t="shared" si="18"/>
        <v>-273159148.26814061</v>
      </c>
      <c r="AI43" s="9">
        <f t="shared" si="18"/>
        <v>-293970784.08783579</v>
      </c>
      <c r="AJ43" s="9">
        <f t="shared" si="18"/>
        <v>-304866757.28099191</v>
      </c>
      <c r="AK43" s="9">
        <f t="shared" si="18"/>
        <v>-325650200.37291682</v>
      </c>
      <c r="AL43" s="9">
        <f t="shared" si="18"/>
        <v>-356323619.38385677</v>
      </c>
      <c r="AM43" s="9">
        <f t="shared" si="18"/>
        <v>-367189019.1300087</v>
      </c>
      <c r="AN43" s="9">
        <f t="shared" si="18"/>
        <v>-397848003.46433026</v>
      </c>
      <c r="AO43" s="9">
        <f t="shared" si="18"/>
        <v>-418601855.4691875</v>
      </c>
      <c r="AP43" s="9">
        <f t="shared" si="18"/>
        <v>-429451601.61047328</v>
      </c>
      <c r="AQ43" s="9">
        <f t="shared" si="18"/>
        <v>-450198063.06090188</v>
      </c>
      <c r="AR43" s="9">
        <f t="shared" si="18"/>
        <v>-461041896.75864482</v>
      </c>
      <c r="AS43" s="9">
        <f t="shared" si="18"/>
        <v>-471883628.25423914</v>
      </c>
    </row>
    <row r="44" spans="1:45" ht="22.95" customHeight="1">
      <c r="A44" s="1"/>
      <c r="B44" s="1"/>
      <c r="C44" s="8" t="s">
        <v>289</v>
      </c>
      <c r="D44" s="8" t="s">
        <v>11</v>
      </c>
      <c r="E44" s="8"/>
      <c r="F44" s="9">
        <f>MAX(J44:U44)</f>
        <v>38513773.764400005</v>
      </c>
      <c r="G44" s="9">
        <f>MAX(V44:AG44)</f>
        <v>282327934.16527164</v>
      </c>
      <c r="H44" s="9">
        <f>MAX(AH44:AS44)</f>
        <v>501883628.25423914</v>
      </c>
      <c r="I44" s="8"/>
      <c r="J44" s="24">
        <f>MAX(0,'01_가정'!$F$106-J43)</f>
        <v>0</v>
      </c>
      <c r="K44" s="24">
        <f>MAX(0,'01_가정'!$F$106-K43)</f>
        <v>0</v>
      </c>
      <c r="L44" s="24">
        <f>MAX(0,'01_가정'!$F$106-L43)</f>
        <v>0</v>
      </c>
      <c r="M44" s="24">
        <f>MAX(0,'01_가정'!$F$106-M43)</f>
        <v>0</v>
      </c>
      <c r="N44" s="24">
        <f>MAX(0,'01_가정'!$F$106-N43)</f>
        <v>0</v>
      </c>
      <c r="O44" s="24">
        <f>MAX(0,'01_가정'!$F$106-O43)</f>
        <v>0</v>
      </c>
      <c r="P44" s="24">
        <f>MAX(0,'01_가정'!$F$106-P43)</f>
        <v>0</v>
      </c>
      <c r="Q44" s="24">
        <f>MAX(0,'01_가정'!$F$106-Q43)</f>
        <v>0</v>
      </c>
      <c r="R44" s="24">
        <f>MAX(0,'01_가정'!$F$106-R43)</f>
        <v>0</v>
      </c>
      <c r="S44" s="24">
        <f>MAX(0,'01_가정'!$F$106-S43)</f>
        <v>0</v>
      </c>
      <c r="T44" s="24">
        <f>MAX(0,'01_가정'!$F$106-T43)</f>
        <v>23585942.119320001</v>
      </c>
      <c r="U44" s="24">
        <f>MAX(0,'01_가정'!$F$106-U43)</f>
        <v>38513773.764400005</v>
      </c>
      <c r="V44" s="24">
        <f>MAX(0,'01_가정'!$F$106-V43)</f>
        <v>64284883.837312408</v>
      </c>
      <c r="W44" s="24">
        <f>MAX(0,'01_가정'!$F$106-W43)</f>
        <v>79323431.803067282</v>
      </c>
      <c r="X44" s="24">
        <f>MAX(0,'01_가정'!$F$106-X43)</f>
        <v>94356081.325239286</v>
      </c>
      <c r="Y44" s="24">
        <f>MAX(0,'01_가정'!$F$106-Y43)</f>
        <v>109384130.06141664</v>
      </c>
      <c r="Z44" s="24">
        <f>MAX(0,'01_가정'!$F$106-Z43)</f>
        <v>135133590.18451819</v>
      </c>
      <c r="AA44" s="24">
        <f>MAX(0,'01_가정'!$F$106-AA43)</f>
        <v>150155251.18942058</v>
      </c>
      <c r="AB44" s="24">
        <f>MAX(0,'01_가정'!$F$106-AB43)</f>
        <v>175899728.88212764</v>
      </c>
      <c r="AC44" s="24">
        <f>MAX(0,'01_가정'!$F$106-AC43)</f>
        <v>201642503.59132236</v>
      </c>
      <c r="AD44" s="24">
        <f>MAX(0,'01_가정'!$F$106-AD43)</f>
        <v>216658949.97337744</v>
      </c>
      <c r="AE44" s="24">
        <f>MAX(0,'01_가정'!$F$106-AE43)</f>
        <v>242399360.26026359</v>
      </c>
      <c r="AF44" s="24">
        <f>MAX(0,'01_가정'!$F$106-AF43)</f>
        <v>267313962.39291799</v>
      </c>
      <c r="AG44" s="24">
        <f>MAX(0,'01_가정'!$F$106-AG43)</f>
        <v>282327934.16527164</v>
      </c>
      <c r="AH44" s="24">
        <f>MAX(0,'01_가정'!$F$106-AH43)</f>
        <v>303159148.26814061</v>
      </c>
      <c r="AI44" s="24">
        <f>MAX(0,'01_가정'!$F$106-AI43)</f>
        <v>323970784.08783579</v>
      </c>
      <c r="AJ44" s="24">
        <f>MAX(0,'01_가정'!$F$106-AJ43)</f>
        <v>334866757.28099191</v>
      </c>
      <c r="AK44" s="24">
        <f>MAX(0,'01_가정'!$F$106-AK43)</f>
        <v>355650200.37291682</v>
      </c>
      <c r="AL44" s="24">
        <f>MAX(0,'01_가정'!$F$106-AL43)</f>
        <v>386323619.38385677</v>
      </c>
      <c r="AM44" s="24">
        <f>MAX(0,'01_가정'!$F$106-AM43)</f>
        <v>397189019.1300087</v>
      </c>
      <c r="AN44" s="24">
        <f>MAX(0,'01_가정'!$F$106-AN43)</f>
        <v>427848003.46433026</v>
      </c>
      <c r="AO44" s="24">
        <f>MAX(0,'01_가정'!$F$106-AO43)</f>
        <v>448601855.4691875</v>
      </c>
      <c r="AP44" s="24">
        <f>MAX(0,'01_가정'!$F$106-AP43)</f>
        <v>459451601.61047328</v>
      </c>
      <c r="AQ44" s="24">
        <f>MAX(0,'01_가정'!$F$106-AQ43)</f>
        <v>480198063.06090188</v>
      </c>
      <c r="AR44" s="24">
        <f>MAX(0,'01_가정'!$F$106-AR43)</f>
        <v>491041896.75864482</v>
      </c>
      <c r="AS44" s="24">
        <f>MAX(0,'01_가정'!$F$106-AS43)</f>
        <v>501883628.25423914</v>
      </c>
    </row>
    <row r="45" spans="1:45" ht="22.9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22.95" customHeight="1">
      <c r="A46" s="1"/>
      <c r="B46" s="1"/>
      <c r="C46" s="1" t="s">
        <v>290</v>
      </c>
      <c r="D46" s="1" t="s">
        <v>11</v>
      </c>
      <c r="E46" s="1"/>
      <c r="F46" s="19">
        <f>SUM(J46:U46)</f>
        <v>-308513773.76440006</v>
      </c>
      <c r="G46" s="19">
        <f>SUM(V46:AG46)</f>
        <v>-243814160.40087166</v>
      </c>
      <c r="H46" s="19">
        <f>SUM(AH46:AS46)</f>
        <v>-219555694.0889675</v>
      </c>
      <c r="I46" s="1"/>
      <c r="J46" s="17">
        <f>'03_월별손익'!J52+'03_월별손익'!J49*'01_가정'!$F$107-J32/(1+'01_가정'!$F$85)-(J17-J14)-(J24-0)-(J25-0)+(J38-J36)</f>
        <v>-17900000</v>
      </c>
      <c r="K46" s="17">
        <f>'03_월별손익'!K52+'03_월별손익'!K49*'01_가정'!$F$107-K32/(1+'01_가정'!$F$85)-(K17-K14)-(K24-J24)-(K25-J25)+(K38-K36)</f>
        <v>-19000000</v>
      </c>
      <c r="L46" s="17">
        <f>'03_월별손익'!L52+'03_월별손익'!L49*'01_가정'!$F$107-L32/(1+'01_가정'!$F$85)-(L17-L14)-(L24-K24)-(L25-K25)+(L38-L36)</f>
        <v>-19000000</v>
      </c>
      <c r="M46" s="17">
        <f>'03_월별손익'!M52+'03_월별손익'!M49*'01_가정'!$F$107-M32/(1+'01_가정'!$F$85)-(M17-M14)-(M24-L24)-(M25-L25)+(M38-M36)</f>
        <v>-34400000</v>
      </c>
      <c r="N46" s="17">
        <f>'03_월별손익'!N52+'03_월별손익'!N49*'01_가정'!$F$107-N32/(1+'01_가정'!$F$85)-(N17-N14)-(N24-M24)-(N25-M25)+(N38-N36)</f>
        <v>-32200000</v>
      </c>
      <c r="O46" s="17">
        <f>'03_월별손익'!O52+'03_월별손익'!O49*'01_가정'!$F$107-O32/(1+'01_가정'!$F$85)-(O17-O14)-(O24-N24)-(O25-N25)+(O38-O36)</f>
        <v>-32200000</v>
      </c>
      <c r="P46" s="17">
        <f>'03_월별손익'!P52+'03_월별손익'!P49*'01_가정'!$F$107-P32/(1+'01_가정'!$F$85)-(P17-P14)-(P24-O24)-(P25-O25)+(P38-P36)</f>
        <v>-15700000</v>
      </c>
      <c r="Q46" s="17">
        <f>'03_월별손익'!Q52+'03_월별손익'!Q49*'01_가정'!$F$107-Q32/(1+'01_가정'!$F$85)-(Q17-Q14)-(Q24-P24)-(Q25-P25)+(Q38-Q36)</f>
        <v>-54750000</v>
      </c>
      <c r="R46" s="17">
        <f>'03_월별손익'!R52+'03_월별손익'!R49*'01_가정'!$F$107-R32/(1+'01_가정'!$F$85)-(R17-R14)-(R24-Q24)-(R25-Q25)+(R38-R36)</f>
        <v>-15700000</v>
      </c>
      <c r="S46" s="17">
        <f>'03_월별손익'!S52+'03_월별손익'!S49*'01_가정'!$F$107-S32/(1+'01_가정'!$F$85)-(S17-S14)-(S24-R24)-(S25-R25)+(S38-S36)</f>
        <v>-26913501.399999999</v>
      </c>
      <c r="T46" s="17">
        <f>'03_월별손익'!T52+'03_월별손익'!T49*'01_가정'!$F$107-T32/(1+'01_가정'!$F$85)-(T17-T14)-(T24-S24)-(T25-S25)+(T38-T36)</f>
        <v>-25822440.719319999</v>
      </c>
      <c r="U46" s="17">
        <f>'03_월별손익'!U52+'03_월별손익'!U49*'01_가정'!$F$107-U32/(1+'01_가정'!$F$85)-(U17-U14)-(U24-T24)-(U25-T25)+(U38-U36)</f>
        <v>-14927831.645080002</v>
      </c>
      <c r="V46" s="17">
        <f>'03_월별손익'!V52+'03_월별손익'!V49*'01_가정'!$F$107-V32/(1+'01_가정'!$F$85)-(V17-V14)-(V24-U24)-(V25-U25)+(V38-V36)</f>
        <v>-25771110.072912402</v>
      </c>
      <c r="W46" s="17">
        <f>'03_월별손익'!W52+'03_월별손익'!W49*'01_가정'!$F$107-W32/(1+'01_가정'!$F$85)-(W17-W14)-(W24-V24)-(W25-V25)+(W38-W36)</f>
        <v>-15038547.96575487</v>
      </c>
      <c r="X46" s="17">
        <f>'03_월별손익'!X52+'03_월별손익'!X49*'01_가정'!$F$107-X32/(1+'01_가정'!$F$85)-(X17-X14)-(X24-W24)-(X25-W25)+(X38-X36)</f>
        <v>-15032649.522171998</v>
      </c>
      <c r="Y46" s="17">
        <f>'03_월별손익'!Y52+'03_월별손익'!Y49*'01_가정'!$F$107-Y32/(1+'01_가정'!$F$85)-(Y17-Y14)-(Y24-X24)-(Y25-X25)+(Y38-Y36)</f>
        <v>-15028048.736177357</v>
      </c>
      <c r="Z46" s="17">
        <f>'03_월별손익'!Z52+'03_월별손익'!Z49*'01_가정'!$F$107-Z32/(1+'01_가정'!$F$85)-(Z17-Z14)-(Z24-Y24)-(Z25-Y25)+(Z38-Z36)</f>
        <v>-25749460.12310154</v>
      </c>
      <c r="AA46" s="17">
        <f>'03_월별손익'!AA52+'03_월별손익'!AA49*'01_가정'!$F$107-AA32/(1+'01_가정'!$F$85)-(AA17-AA14)-(AA24-Z24)-(AA25-Z25)+(AA38-AA36)</f>
        <v>-15021661.004902402</v>
      </c>
      <c r="AB46" s="17">
        <f>'03_월별손익'!AB52+'03_월별손익'!AB49*'01_가정'!$F$107-AB32/(1+'01_가정'!$F$85)-(AB17-AB14)-(AB24-AA24)-(AB25-AA25)+(AB38-AB36)</f>
        <v>-25744477.692707073</v>
      </c>
      <c r="AC46" s="17">
        <f>'03_월별손익'!AC52+'03_월별손익'!AC49*'01_가정'!$F$107-AC32/(1+'01_가정'!$F$85)-(AC17-AC14)-(AC24-AB24)-(AC25-AB25)+(AC38-AC36)</f>
        <v>-25742774.709194716</v>
      </c>
      <c r="AD46" s="17">
        <f>'03_월별손익'!AD52+'03_월별손익'!AD49*'01_가정'!$F$107-AD32/(1+'01_가정'!$F$85)-(AD17-AD14)-(AD24-AC24)-(AD25-AC25)+(AD38-AD36)</f>
        <v>-15016446.382055078</v>
      </c>
      <c r="AE46" s="17">
        <f>'03_월별손익'!AE52+'03_월별손익'!AE49*'01_가정'!$F$107-AE32/(1+'01_가정'!$F$85)-(AE17-AE14)-(AE24-AD24)-(AE25-AD25)+(AE38-AE36)</f>
        <v>-25740410.286886163</v>
      </c>
      <c r="AF46" s="17">
        <f>'03_월별손익'!AF52+'03_월별손익'!AF49*'01_가정'!$F$107-AF32/(1+'01_가정'!$F$85)-(AF17-AF14)-(AF24-AE24)-(AF25-AE25)+(AF38-AF36)</f>
        <v>-24914602.13265441</v>
      </c>
      <c r="AG46" s="17">
        <f>'03_월별손익'!AG52+'03_월별손익'!AG49*'01_가정'!$F$107-AG32/(1+'01_가정'!$F$85)-(AG17-AG14)-(AG24-AF24)-(AG25-AF25)+(AG38-AG36)</f>
        <v>-15013971.772353638</v>
      </c>
      <c r="AH46" s="17">
        <f>'03_월별손익'!AH52+'03_월별손익'!AH49*'01_가정'!$F$107-AH32/(1+'01_가정'!$F$85)-(AH17-AH14)-(AH24-AG24)-(AH25-AG25)+(AH38-AH36)</f>
        <v>-20831214.102868967</v>
      </c>
      <c r="AI46" s="17">
        <f>'03_월별손익'!AI52+'03_월별손익'!AI49*'01_가정'!$F$107-AI32/(1+'01_가정'!$F$85)-(AI17-AI14)-(AI24-AH24)-(AI25-AH25)+(AI38-AI36)</f>
        <v>-20811635.819695171</v>
      </c>
      <c r="AJ46" s="17">
        <f>'03_월별손익'!AJ52+'03_월별손익'!AJ49*'01_가정'!$F$107-AJ32/(1+'01_가정'!$F$85)-(AJ17-AJ14)-(AJ24-AI24)-(AJ25-AI25)+(AJ38-AJ36)</f>
        <v>-10895973.19315614</v>
      </c>
      <c r="AK46" s="17">
        <f>'03_월별손익'!AK52+'03_월별손익'!AK49*'01_가정'!$F$107-AK32/(1+'01_가정'!$F$85)-(AK17-AK14)-(AK24-AJ24)-(AK25-AJ25)+(AK38-AK36)</f>
        <v>-20783443.091924913</v>
      </c>
      <c r="AL46" s="17">
        <f>'03_월별손익'!AL52+'03_월별손익'!AL49*'01_가정'!$F$107-AL32/(1+'01_가정'!$F$85)-(AL17-AL14)-(AL24-AK24)-(AL25-AK25)+(AL38-AL36)</f>
        <v>-30673419.010939922</v>
      </c>
      <c r="AM46" s="17">
        <f>'03_월별손익'!AM52+'03_월별손익'!AM49*'01_가정'!$F$107-AM32/(1+'01_가정'!$F$85)-(AM17-AM14)-(AM24-AL24)-(AM25-AL25)+(AM38-AM36)</f>
        <v>-10865399.746151945</v>
      </c>
      <c r="AN46" s="17">
        <f>'03_월별손익'!AN52+'03_월별손익'!AN49*'01_가정'!$F$107-AN32/(1+'01_가정'!$F$85)-(AN17-AN14)-(AN24-AM24)-(AN25-AM25)+(AN38-AN36)</f>
        <v>-30658984.334321558</v>
      </c>
      <c r="AO46" s="17">
        <f>'03_월별손익'!AO52+'03_월별손익'!AO49*'01_가정'!$F$107-AO32/(1+'01_가정'!$F$85)-(AO17-AO14)-(AO24-AN24)-(AO25-AN25)+(AO38-AO36)</f>
        <v>-20753852.004857246</v>
      </c>
      <c r="AP46" s="17">
        <f>'03_월별손익'!AP52+'03_월별손익'!AP49*'01_가정'!$F$107-AP32/(1+'01_가정'!$F$85)-(AP17-AP14)-(AP24-AO24)-(AP25-AO25)+(AP38-AP36)</f>
        <v>-10849746.141285792</v>
      </c>
      <c r="AQ46" s="17">
        <f>'03_월별손익'!AQ52+'03_월별손익'!AQ49*'01_가정'!$F$107-AQ32/(1+'01_가정'!$F$85)-(AQ17-AQ14)-(AQ24-AP24)-(AQ25-AP25)+(AQ38-AQ36)</f>
        <v>-20746461.450428631</v>
      </c>
      <c r="AR46" s="17">
        <f>'03_월별손익'!AR52+'03_월별손익'!AR49*'01_가정'!$F$107-AR32/(1+'01_가정'!$F$85)-(AR17-AR14)-(AR24-AQ24)-(AR25-AQ25)+(AR38-AR36)</f>
        <v>-10843833.697742909</v>
      </c>
      <c r="AS46" s="17">
        <f>'03_월별손익'!AS52+'03_월별손익'!AS49*'01_가정'!$F$107-AS32/(1+'01_가정'!$F$85)-(AS17-AS14)-(AS24-AR24)-(AS25-AR25)+(AS38-AS36)</f>
        <v>-10841731.495594326</v>
      </c>
    </row>
    <row r="47" spans="1:45" ht="22.9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22.9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42" customHeight="1">
      <c r="A49" s="1"/>
      <c r="B49" s="1"/>
      <c r="C49" s="35" t="s">
        <v>291</v>
      </c>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row>
    <row r="50" spans="1:45" ht="22.9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36" customHeight="1">
      <c r="A51" s="1"/>
      <c r="B51" s="1"/>
      <c r="C51" s="35" t="s">
        <v>292</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row>
    <row r="52" spans="1:45" ht="22.9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sheetData>
  <mergeCells count="2">
    <mergeCell ref="C49:AS49"/>
    <mergeCell ref="C51:AS51"/>
  </mergeCells>
  <phoneticPr fontId="24" type="noConversion"/>
  <conditionalFormatting sqref="F43:AS43">
    <cfRule type="cellIs" dxfId="1" priority="1"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N58"/>
  <sheetViews>
    <sheetView showGridLines="0" workbookViewId="0"/>
  </sheetViews>
  <sheetFormatPr defaultRowHeight="13.8"/>
  <cols>
    <col min="1" max="2" width="2.19921875" customWidth="1"/>
    <col min="3" max="3" width="35" customWidth="1"/>
    <col min="4" max="4" width="15" customWidth="1"/>
    <col min="5" max="9" width="18" customWidth="1"/>
    <col min="10" max="10" width="30" customWidth="1"/>
    <col min="11" max="11" width="16" customWidth="1"/>
    <col min="12" max="12" width="22" customWidth="1"/>
  </cols>
  <sheetData>
    <row r="1" spans="1:14" ht="22.95" customHeight="1">
      <c r="A1" s="1"/>
      <c r="B1" s="1"/>
      <c r="C1" s="1"/>
      <c r="D1" s="1"/>
      <c r="E1" s="1"/>
      <c r="F1" s="1"/>
      <c r="G1" s="1"/>
      <c r="H1" s="1"/>
      <c r="I1" s="1"/>
      <c r="J1" s="1"/>
      <c r="K1" s="1"/>
      <c r="L1" s="1"/>
      <c r="M1" s="1"/>
      <c r="N1" s="1"/>
    </row>
    <row r="2" spans="1:14" ht="34.950000000000003" customHeight="1">
      <c r="A2" s="1"/>
      <c r="B2" s="1"/>
      <c r="C2" s="2" t="s">
        <v>293</v>
      </c>
      <c r="D2" s="1"/>
      <c r="E2" s="1"/>
      <c r="F2" s="1"/>
      <c r="G2" s="1"/>
      <c r="H2" s="1"/>
      <c r="I2" s="1"/>
      <c r="J2" s="1"/>
      <c r="K2" s="1"/>
      <c r="L2" s="1"/>
      <c r="M2" s="1"/>
      <c r="N2" s="1"/>
    </row>
    <row r="3" spans="1:14" ht="22.95" customHeight="1">
      <c r="A3" s="1"/>
      <c r="B3" s="1"/>
      <c r="C3" s="1"/>
      <c r="D3" s="1"/>
      <c r="E3" s="1"/>
      <c r="F3" s="1"/>
      <c r="G3" s="1"/>
      <c r="H3" s="1"/>
      <c r="I3" s="1"/>
      <c r="J3" s="1"/>
      <c r="K3" s="1"/>
      <c r="L3" s="1"/>
      <c r="M3" s="1"/>
      <c r="N3" s="1"/>
    </row>
    <row r="4" spans="1:14" ht="22.95" customHeight="1">
      <c r="A4" s="1"/>
      <c r="B4" s="1"/>
      <c r="C4" s="1" t="s">
        <v>1</v>
      </c>
      <c r="D4" s="1"/>
      <c r="E4" s="1"/>
      <c r="F4" s="31" t="str">
        <f>'01_가정'!H4</f>
        <v>보수</v>
      </c>
      <c r="G4" s="1"/>
      <c r="H4" s="1"/>
      <c r="I4" s="1"/>
      <c r="J4" s="1"/>
      <c r="K4" s="1"/>
      <c r="L4" s="1"/>
      <c r="M4" s="1"/>
      <c r="N4" s="1"/>
    </row>
    <row r="5" spans="1:14" ht="36" customHeight="1">
      <c r="A5" s="1"/>
      <c r="B5" s="1"/>
      <c r="C5" s="35" t="s">
        <v>294</v>
      </c>
      <c r="D5" s="35"/>
      <c r="E5" s="35"/>
      <c r="F5" s="35"/>
      <c r="G5" s="35"/>
      <c r="H5" s="35"/>
      <c r="I5" s="35"/>
      <c r="J5" s="35"/>
      <c r="K5" s="35"/>
      <c r="L5" s="35"/>
      <c r="M5" s="35"/>
      <c r="N5" s="35"/>
    </row>
    <row r="6" spans="1:14" ht="22.95" customHeight="1">
      <c r="A6" s="1"/>
      <c r="B6" s="1"/>
      <c r="C6" s="1"/>
      <c r="D6" s="1"/>
      <c r="E6" s="1"/>
      <c r="F6" s="1"/>
      <c r="G6" s="1"/>
      <c r="H6" s="1"/>
      <c r="I6" s="1"/>
      <c r="J6" s="1"/>
      <c r="K6" s="1"/>
      <c r="L6" s="1"/>
      <c r="M6" s="1"/>
      <c r="N6" s="1"/>
    </row>
    <row r="7" spans="1:14" ht="36" customHeight="1">
      <c r="A7" s="1"/>
      <c r="B7" s="1"/>
      <c r="C7" s="7" t="s">
        <v>295</v>
      </c>
      <c r="D7" s="7" t="s">
        <v>296</v>
      </c>
      <c r="E7" s="7" t="s">
        <v>297</v>
      </c>
      <c r="F7" s="7" t="s">
        <v>298</v>
      </c>
      <c r="G7" s="7" t="s">
        <v>299</v>
      </c>
      <c r="H7" s="7" t="s">
        <v>300</v>
      </c>
      <c r="I7" s="7" t="s">
        <v>301</v>
      </c>
      <c r="J7" s="7" t="s">
        <v>302</v>
      </c>
      <c r="K7" s="7" t="s">
        <v>303</v>
      </c>
      <c r="L7" s="1"/>
      <c r="M7" s="1"/>
      <c r="N7" s="1"/>
    </row>
    <row r="8" spans="1:14" ht="30" customHeight="1">
      <c r="A8" s="1"/>
      <c r="B8" s="1"/>
      <c r="C8" s="1" t="s">
        <v>304</v>
      </c>
      <c r="D8" s="10">
        <v>1</v>
      </c>
      <c r="E8" s="10">
        <v>1500000</v>
      </c>
      <c r="F8" s="19">
        <f t="shared" ref="F8:F17" si="0">D8*E8</f>
        <v>1500000</v>
      </c>
      <c r="G8" s="10"/>
      <c r="H8" s="19" t="str">
        <f t="shared" ref="H8:H17" si="1">IF(COUNT(G8)=0,"미입력",F8-G8)</f>
        <v>미입력</v>
      </c>
      <c r="I8" s="1" t="s">
        <v>305</v>
      </c>
      <c r="J8" s="1" t="s">
        <v>306</v>
      </c>
      <c r="K8" s="1" t="s">
        <v>307</v>
      </c>
      <c r="L8" s="1"/>
      <c r="M8" s="1"/>
      <c r="N8" s="1"/>
    </row>
    <row r="9" spans="1:14" ht="30" customHeight="1">
      <c r="A9" s="1"/>
      <c r="B9" s="1"/>
      <c r="C9" s="1" t="s">
        <v>308</v>
      </c>
      <c r="D9" s="10">
        <v>24</v>
      </c>
      <c r="E9" s="10">
        <v>30000</v>
      </c>
      <c r="F9" s="19">
        <f t="shared" si="0"/>
        <v>720000</v>
      </c>
      <c r="G9" s="10"/>
      <c r="H9" s="19" t="str">
        <f t="shared" si="1"/>
        <v>미입력</v>
      </c>
      <c r="I9" s="1" t="s">
        <v>309</v>
      </c>
      <c r="J9" s="1" t="s">
        <v>310</v>
      </c>
      <c r="K9" s="1" t="s">
        <v>311</v>
      </c>
      <c r="L9" s="1"/>
      <c r="M9" s="1"/>
      <c r="N9" s="1"/>
    </row>
    <row r="10" spans="1:14" ht="30" customHeight="1">
      <c r="A10" s="1"/>
      <c r="B10" s="1"/>
      <c r="C10" s="1" t="s">
        <v>312</v>
      </c>
      <c r="D10" s="10">
        <v>1</v>
      </c>
      <c r="E10" s="10">
        <v>280000</v>
      </c>
      <c r="F10" s="19">
        <f t="shared" si="0"/>
        <v>280000</v>
      </c>
      <c r="G10" s="10"/>
      <c r="H10" s="19" t="str">
        <f t="shared" si="1"/>
        <v>미입력</v>
      </c>
      <c r="I10" s="1" t="s">
        <v>309</v>
      </c>
      <c r="J10" s="1" t="s">
        <v>313</v>
      </c>
      <c r="K10" s="1" t="s">
        <v>311</v>
      </c>
      <c r="L10" s="1"/>
      <c r="M10" s="1"/>
      <c r="N10" s="1"/>
    </row>
    <row r="11" spans="1:14" ht="30" customHeight="1">
      <c r="A11" s="1"/>
      <c r="B11" s="1"/>
      <c r="C11" s="1" t="s">
        <v>314</v>
      </c>
      <c r="D11" s="10">
        <v>1</v>
      </c>
      <c r="E11" s="10">
        <v>600000</v>
      </c>
      <c r="F11" s="19">
        <f t="shared" si="0"/>
        <v>600000</v>
      </c>
      <c r="G11" s="10"/>
      <c r="H11" s="19" t="str">
        <f t="shared" si="1"/>
        <v>미입력</v>
      </c>
      <c r="I11" s="1" t="s">
        <v>315</v>
      </c>
      <c r="J11" s="1" t="s">
        <v>316</v>
      </c>
      <c r="K11" s="1" t="s">
        <v>317</v>
      </c>
      <c r="L11" s="1"/>
      <c r="M11" s="1"/>
      <c r="N11" s="1"/>
    </row>
    <row r="12" spans="1:14" ht="30" customHeight="1">
      <c r="A12" s="1"/>
      <c r="B12" s="1"/>
      <c r="C12" s="1" t="s">
        <v>318</v>
      </c>
      <c r="D12" s="10">
        <v>1</v>
      </c>
      <c r="E12" s="10">
        <v>1200000</v>
      </c>
      <c r="F12" s="19">
        <f t="shared" si="0"/>
        <v>1200000</v>
      </c>
      <c r="G12" s="10"/>
      <c r="H12" s="19" t="str">
        <f t="shared" si="1"/>
        <v>미입력</v>
      </c>
      <c r="I12" s="1" t="s">
        <v>319</v>
      </c>
      <c r="J12" s="1" t="s">
        <v>320</v>
      </c>
      <c r="K12" s="1" t="s">
        <v>317</v>
      </c>
      <c r="L12" s="1"/>
      <c r="M12" s="1"/>
      <c r="N12" s="1"/>
    </row>
    <row r="13" spans="1:14" ht="30" customHeight="1">
      <c r="A13" s="1"/>
      <c r="B13" s="1"/>
      <c r="C13" s="1" t="s">
        <v>321</v>
      </c>
      <c r="D13" s="10">
        <v>1</v>
      </c>
      <c r="E13" s="10">
        <v>1800000</v>
      </c>
      <c r="F13" s="19">
        <f t="shared" si="0"/>
        <v>1800000</v>
      </c>
      <c r="G13" s="10"/>
      <c r="H13" s="19" t="str">
        <f t="shared" si="1"/>
        <v>미입력</v>
      </c>
      <c r="I13" s="1" t="s">
        <v>322</v>
      </c>
      <c r="J13" s="1" t="s">
        <v>323</v>
      </c>
      <c r="K13" s="1" t="s">
        <v>324</v>
      </c>
      <c r="L13" s="1"/>
      <c r="M13" s="1"/>
      <c r="N13" s="1"/>
    </row>
    <row r="14" spans="1:14" ht="30" customHeight="1">
      <c r="A14" s="1"/>
      <c r="B14" s="1"/>
      <c r="C14" s="1" t="s">
        <v>325</v>
      </c>
      <c r="D14" s="10">
        <v>24</v>
      </c>
      <c r="E14" s="10">
        <v>50000</v>
      </c>
      <c r="F14" s="19">
        <f t="shared" si="0"/>
        <v>1200000</v>
      </c>
      <c r="G14" s="10"/>
      <c r="H14" s="19" t="str">
        <f t="shared" si="1"/>
        <v>미입력</v>
      </c>
      <c r="I14" s="1" t="s">
        <v>326</v>
      </c>
      <c r="J14" s="1" t="s">
        <v>327</v>
      </c>
      <c r="K14" s="1" t="s">
        <v>317</v>
      </c>
      <c r="L14" s="1"/>
      <c r="M14" s="1"/>
      <c r="N14" s="1"/>
    </row>
    <row r="15" spans="1:14" ht="30" customHeight="1">
      <c r="A15" s="1"/>
      <c r="B15" s="1"/>
      <c r="C15" s="1" t="s">
        <v>328</v>
      </c>
      <c r="D15" s="10">
        <v>1</v>
      </c>
      <c r="E15" s="10">
        <v>1100000</v>
      </c>
      <c r="F15" s="19">
        <f t="shared" si="0"/>
        <v>1100000</v>
      </c>
      <c r="G15" s="10"/>
      <c r="H15" s="19" t="str">
        <f t="shared" si="1"/>
        <v>미입력</v>
      </c>
      <c r="I15" s="1" t="s">
        <v>329</v>
      </c>
      <c r="J15" s="1" t="s">
        <v>330</v>
      </c>
      <c r="K15" s="1" t="s">
        <v>331</v>
      </c>
      <c r="L15" s="1"/>
      <c r="M15" s="1"/>
      <c r="N15" s="1"/>
    </row>
    <row r="16" spans="1:14" ht="30" customHeight="1">
      <c r="A16" s="1"/>
      <c r="B16" s="1"/>
      <c r="C16" s="1" t="s">
        <v>332</v>
      </c>
      <c r="D16" s="10">
        <v>1</v>
      </c>
      <c r="E16" s="10">
        <v>700000</v>
      </c>
      <c r="F16" s="19">
        <f t="shared" si="0"/>
        <v>700000</v>
      </c>
      <c r="G16" s="10"/>
      <c r="H16" s="19" t="str">
        <f t="shared" si="1"/>
        <v>미입력</v>
      </c>
      <c r="I16" s="1" t="s">
        <v>333</v>
      </c>
      <c r="J16" s="1" t="s">
        <v>334</v>
      </c>
      <c r="K16" s="1" t="s">
        <v>331</v>
      </c>
      <c r="L16" s="1"/>
      <c r="M16" s="1"/>
      <c r="N16" s="1"/>
    </row>
    <row r="17" spans="1:14" ht="30" customHeight="1">
      <c r="A17" s="1"/>
      <c r="B17" s="1"/>
      <c r="C17" s="1" t="s">
        <v>335</v>
      </c>
      <c r="D17" s="10">
        <v>1</v>
      </c>
      <c r="E17" s="10">
        <v>900000</v>
      </c>
      <c r="F17" s="19">
        <f t="shared" si="0"/>
        <v>900000</v>
      </c>
      <c r="G17" s="10"/>
      <c r="H17" s="19" t="str">
        <f t="shared" si="1"/>
        <v>미입력</v>
      </c>
      <c r="I17" s="1" t="s">
        <v>336</v>
      </c>
      <c r="J17" s="1" t="s">
        <v>337</v>
      </c>
      <c r="K17" s="1" t="s">
        <v>338</v>
      </c>
      <c r="L17" s="1"/>
      <c r="M17" s="1"/>
      <c r="N17" s="1"/>
    </row>
    <row r="18" spans="1:14" ht="30" customHeight="1">
      <c r="A18" s="1"/>
      <c r="B18" s="1"/>
      <c r="C18" s="1"/>
      <c r="D18" s="1"/>
      <c r="E18" s="1"/>
      <c r="F18" s="25"/>
      <c r="G18" s="25"/>
      <c r="H18" s="25"/>
      <c r="I18" s="1"/>
      <c r="J18" s="1"/>
      <c r="K18" s="1"/>
      <c r="L18" s="1"/>
      <c r="M18" s="1"/>
      <c r="N18" s="1"/>
    </row>
    <row r="19" spans="1:14" ht="30" customHeight="1">
      <c r="A19" s="1"/>
      <c r="B19" s="1"/>
      <c r="C19" s="1" t="s">
        <v>339</v>
      </c>
      <c r="D19" s="1"/>
      <c r="E19" s="1"/>
      <c r="F19" s="19">
        <f>SUM(F8:F17)</f>
        <v>10000000</v>
      </c>
      <c r="G19" s="19" t="str">
        <f>IF(COUNT(G8:G17)=0,"미입력",SUM(G8:G17))</f>
        <v>미입력</v>
      </c>
      <c r="H19" s="19" t="str">
        <f>IF(COUNT(G8:G17)&lt;10,"일부 또는 전체 미입력",F19-SUM(G8:G17))</f>
        <v>일부 또는 전체 미입력</v>
      </c>
      <c r="I19" s="1"/>
      <c r="J19" s="1"/>
      <c r="K19" s="1"/>
      <c r="L19" s="1"/>
      <c r="M19" s="1"/>
      <c r="N19" s="1"/>
    </row>
    <row r="20" spans="1:14" ht="22.95" customHeight="1">
      <c r="A20" s="1"/>
      <c r="B20" s="1"/>
      <c r="C20" s="1"/>
      <c r="D20" s="1"/>
      <c r="E20" s="1"/>
      <c r="F20" s="1"/>
      <c r="G20" s="1"/>
      <c r="H20" s="1"/>
      <c r="I20" s="1"/>
      <c r="J20" s="1"/>
      <c r="K20" s="1"/>
      <c r="L20" s="1"/>
      <c r="M20" s="1"/>
      <c r="N20" s="1"/>
    </row>
    <row r="21" spans="1:14" ht="22.95" customHeight="1">
      <c r="A21" s="1"/>
      <c r="B21" s="1"/>
      <c r="C21" s="1"/>
      <c r="D21" s="1"/>
      <c r="E21" s="1"/>
      <c r="F21" s="1"/>
      <c r="G21" s="1"/>
      <c r="H21" s="1"/>
      <c r="I21" s="1"/>
      <c r="J21" s="1"/>
      <c r="K21" s="1"/>
      <c r="L21" s="1"/>
      <c r="M21" s="1"/>
      <c r="N21" s="1"/>
    </row>
    <row r="22" spans="1:14" ht="22.95" customHeight="1">
      <c r="A22" s="1"/>
      <c r="B22" s="1"/>
      <c r="C22" s="1" t="s">
        <v>340</v>
      </c>
      <c r="D22" s="1"/>
      <c r="E22" s="1"/>
      <c r="F22" s="1"/>
      <c r="G22" s="1"/>
      <c r="H22" s="1"/>
      <c r="I22" s="1"/>
      <c r="J22" s="1" t="s">
        <v>341</v>
      </c>
      <c r="K22" s="1" t="s">
        <v>342</v>
      </c>
      <c r="L22" s="1" t="s">
        <v>343</v>
      </c>
      <c r="M22" s="1" t="s">
        <v>344</v>
      </c>
      <c r="N22" s="1"/>
    </row>
    <row r="23" spans="1:14" ht="22.95" customHeight="1">
      <c r="A23" s="1"/>
      <c r="B23" s="1"/>
      <c r="C23" s="1"/>
      <c r="D23" s="1"/>
      <c r="E23" s="1"/>
      <c r="F23" s="1"/>
      <c r="G23" s="1"/>
      <c r="H23" s="1"/>
      <c r="I23" s="1"/>
      <c r="J23" s="12">
        <v>0.2</v>
      </c>
      <c r="K23" s="12">
        <v>0.3</v>
      </c>
      <c r="L23" s="12">
        <v>0.3</v>
      </c>
      <c r="M23" s="12">
        <v>0.2</v>
      </c>
      <c r="N23" s="1"/>
    </row>
    <row r="24" spans="1:14" ht="22.95" customHeight="1">
      <c r="A24" s="1"/>
      <c r="B24" s="1"/>
      <c r="C24" s="1"/>
      <c r="D24" s="1"/>
      <c r="E24" s="1"/>
      <c r="F24" s="1"/>
      <c r="G24" s="1"/>
      <c r="H24" s="1"/>
      <c r="I24" s="1"/>
      <c r="J24" s="1"/>
      <c r="K24" s="1"/>
      <c r="L24" s="1"/>
      <c r="M24" s="1"/>
      <c r="N24" s="1"/>
    </row>
    <row r="25" spans="1:14" ht="22.95" customHeight="1">
      <c r="A25" s="1"/>
      <c r="B25" s="1"/>
      <c r="C25" s="1"/>
      <c r="D25" s="1"/>
      <c r="E25" s="1"/>
      <c r="F25" s="1"/>
      <c r="G25" s="1"/>
      <c r="H25" s="1"/>
      <c r="I25" s="1"/>
      <c r="J25" s="1"/>
      <c r="K25" s="1"/>
      <c r="L25" s="1"/>
      <c r="M25" s="1"/>
      <c r="N25" s="1"/>
    </row>
    <row r="26" spans="1:14" ht="22.95" customHeight="1">
      <c r="A26" s="1"/>
      <c r="B26" s="1"/>
      <c r="C26" s="8" t="s">
        <v>345</v>
      </c>
      <c r="D26" s="8"/>
      <c r="E26" s="8"/>
      <c r="F26" s="8"/>
      <c r="G26" s="8"/>
      <c r="H26" s="8"/>
      <c r="I26" s="8"/>
      <c r="J26" s="8"/>
      <c r="K26" s="8"/>
      <c r="L26" s="8"/>
      <c r="M26" s="8"/>
      <c r="N26" s="8"/>
    </row>
    <row r="27" spans="1:14" ht="22.95" customHeight="1">
      <c r="A27" s="1"/>
      <c r="B27" s="1"/>
      <c r="C27" s="1"/>
      <c r="D27" s="1"/>
      <c r="E27" s="1"/>
      <c r="F27" s="1"/>
      <c r="G27" s="1"/>
      <c r="H27" s="1"/>
      <c r="I27" s="1"/>
      <c r="J27" s="1"/>
      <c r="K27" s="1"/>
      <c r="L27" s="1"/>
      <c r="M27" s="1"/>
      <c r="N27" s="1"/>
    </row>
    <row r="28" spans="1:14" ht="30" customHeight="1">
      <c r="A28" s="1"/>
      <c r="B28" s="1"/>
      <c r="C28" s="7" t="s">
        <v>346</v>
      </c>
      <c r="D28" s="7" t="s">
        <v>347</v>
      </c>
      <c r="E28" s="38" t="s">
        <v>348</v>
      </c>
      <c r="F28" s="38"/>
      <c r="G28" s="38"/>
      <c r="H28" s="7" t="s">
        <v>349</v>
      </c>
      <c r="I28" s="38" t="s">
        <v>350</v>
      </c>
      <c r="J28" s="38"/>
      <c r="K28" s="38"/>
      <c r="L28" s="38"/>
      <c r="M28" s="1"/>
      <c r="N28" s="1"/>
    </row>
    <row r="29" spans="1:14" ht="46.05" customHeight="1">
      <c r="A29" s="1"/>
      <c r="B29" s="1"/>
      <c r="C29" s="6" t="s">
        <v>351</v>
      </c>
      <c r="D29" s="6" t="s">
        <v>305</v>
      </c>
      <c r="E29" s="35" t="s">
        <v>352</v>
      </c>
      <c r="F29" s="35"/>
      <c r="G29" s="35"/>
      <c r="H29" s="26" t="s">
        <v>353</v>
      </c>
      <c r="I29" s="35" t="s">
        <v>354</v>
      </c>
      <c r="J29" s="35"/>
      <c r="K29" s="35"/>
      <c r="L29" s="35"/>
      <c r="M29" s="1"/>
      <c r="N29" s="1"/>
    </row>
    <row r="30" spans="1:14" ht="46.05" customHeight="1">
      <c r="A30" s="1"/>
      <c r="B30" s="1"/>
      <c r="C30" s="6" t="s">
        <v>355</v>
      </c>
      <c r="D30" s="6" t="s">
        <v>309</v>
      </c>
      <c r="E30" s="35" t="s">
        <v>356</v>
      </c>
      <c r="F30" s="35"/>
      <c r="G30" s="35"/>
      <c r="H30" s="26" t="s">
        <v>353</v>
      </c>
      <c r="I30" s="35" t="s">
        <v>357</v>
      </c>
      <c r="J30" s="35"/>
      <c r="K30" s="35"/>
      <c r="L30" s="35"/>
      <c r="M30" s="1"/>
      <c r="N30" s="1"/>
    </row>
    <row r="31" spans="1:14" ht="46.05" customHeight="1">
      <c r="A31" s="1"/>
      <c r="B31" s="1"/>
      <c r="C31" s="6" t="s">
        <v>358</v>
      </c>
      <c r="D31" s="6" t="s">
        <v>359</v>
      </c>
      <c r="E31" s="35" t="s">
        <v>360</v>
      </c>
      <c r="F31" s="35"/>
      <c r="G31" s="35"/>
      <c r="H31" s="26" t="s">
        <v>353</v>
      </c>
      <c r="I31" s="35" t="s">
        <v>361</v>
      </c>
      <c r="J31" s="35"/>
      <c r="K31" s="35"/>
      <c r="L31" s="35"/>
      <c r="M31" s="1"/>
      <c r="N31" s="1"/>
    </row>
    <row r="32" spans="1:14" ht="46.05" customHeight="1">
      <c r="A32" s="1"/>
      <c r="B32" s="1"/>
      <c r="C32" s="6" t="s">
        <v>362</v>
      </c>
      <c r="D32" s="6" t="s">
        <v>329</v>
      </c>
      <c r="E32" s="35" t="s">
        <v>363</v>
      </c>
      <c r="F32" s="35"/>
      <c r="G32" s="35"/>
      <c r="H32" s="26" t="s">
        <v>353</v>
      </c>
      <c r="I32" s="35" t="s">
        <v>364</v>
      </c>
      <c r="J32" s="35"/>
      <c r="K32" s="35"/>
      <c r="L32" s="35"/>
      <c r="M32" s="1"/>
      <c r="N32" s="1"/>
    </row>
    <row r="33" spans="1:14" ht="46.05" customHeight="1">
      <c r="A33" s="1"/>
      <c r="B33" s="1"/>
      <c r="C33" s="6" t="s">
        <v>365</v>
      </c>
      <c r="D33" s="6" t="s">
        <v>366</v>
      </c>
      <c r="E33" s="35" t="s">
        <v>367</v>
      </c>
      <c r="F33" s="35"/>
      <c r="G33" s="35"/>
      <c r="H33" s="26" t="s">
        <v>353</v>
      </c>
      <c r="I33" s="35" t="s">
        <v>368</v>
      </c>
      <c r="J33" s="35"/>
      <c r="K33" s="35"/>
      <c r="L33" s="35"/>
      <c r="M33" s="1"/>
      <c r="N33" s="1"/>
    </row>
    <row r="34" spans="1:14" ht="46.05" customHeight="1">
      <c r="A34" s="1"/>
      <c r="B34" s="1"/>
      <c r="C34" s="6" t="s">
        <v>369</v>
      </c>
      <c r="D34" s="6" t="s">
        <v>370</v>
      </c>
      <c r="E34" s="35" t="s">
        <v>371</v>
      </c>
      <c r="F34" s="35"/>
      <c r="G34" s="35"/>
      <c r="H34" s="26" t="s">
        <v>353</v>
      </c>
      <c r="I34" s="35" t="s">
        <v>372</v>
      </c>
      <c r="J34" s="35"/>
      <c r="K34" s="35"/>
      <c r="L34" s="35"/>
      <c r="M34" s="1"/>
      <c r="N34" s="1"/>
    </row>
    <row r="35" spans="1:14" ht="22.95" customHeight="1">
      <c r="A35" s="1"/>
      <c r="B35" s="1"/>
      <c r="C35" s="1"/>
      <c r="D35" s="1"/>
      <c r="E35" s="1"/>
      <c r="F35" s="1"/>
      <c r="G35" s="1"/>
      <c r="H35" s="1"/>
      <c r="I35" s="1"/>
      <c r="J35" s="1"/>
      <c r="K35" s="1"/>
      <c r="L35" s="1"/>
      <c r="M35" s="1"/>
      <c r="N35" s="1"/>
    </row>
    <row r="36" spans="1:14" ht="22.95" customHeight="1">
      <c r="A36" s="1"/>
      <c r="B36" s="1"/>
      <c r="C36" s="1"/>
      <c r="D36" s="1"/>
      <c r="E36" s="1"/>
      <c r="F36" s="1"/>
      <c r="G36" s="1"/>
      <c r="H36" s="1"/>
      <c r="I36" s="1"/>
      <c r="J36" s="1"/>
      <c r="K36" s="1"/>
      <c r="L36" s="1"/>
      <c r="M36" s="1"/>
      <c r="N36" s="1"/>
    </row>
    <row r="37" spans="1:14" ht="36" customHeight="1">
      <c r="A37" s="1"/>
      <c r="B37" s="1"/>
      <c r="C37" s="35" t="s">
        <v>373</v>
      </c>
      <c r="D37" s="35"/>
      <c r="E37" s="35"/>
      <c r="F37" s="35"/>
      <c r="G37" s="35"/>
      <c r="H37" s="35"/>
      <c r="I37" s="35"/>
      <c r="J37" s="35"/>
      <c r="K37" s="35"/>
      <c r="L37" s="35"/>
      <c r="M37" s="35"/>
      <c r="N37" s="35"/>
    </row>
    <row r="38" spans="1:14" ht="22.95" customHeight="1">
      <c r="A38" s="1"/>
      <c r="B38" s="1"/>
      <c r="C38" s="1"/>
      <c r="D38" s="1"/>
      <c r="E38" s="1"/>
      <c r="F38" s="1"/>
      <c r="G38" s="1"/>
      <c r="H38" s="1"/>
      <c r="I38" s="1"/>
      <c r="J38" s="1"/>
      <c r="K38" s="1"/>
      <c r="L38" s="1"/>
      <c r="M38" s="1"/>
      <c r="N38" s="1"/>
    </row>
    <row r="39" spans="1:14" ht="36" customHeight="1">
      <c r="A39" s="1"/>
      <c r="B39" s="1"/>
      <c r="C39" s="35" t="s">
        <v>374</v>
      </c>
      <c r="D39" s="35"/>
      <c r="E39" s="35"/>
      <c r="F39" s="35"/>
      <c r="G39" s="35"/>
      <c r="H39" s="35"/>
      <c r="I39" s="35"/>
      <c r="J39" s="35"/>
      <c r="K39" s="35"/>
      <c r="L39" s="35"/>
      <c r="M39" s="35"/>
      <c r="N39" s="35"/>
    </row>
    <row r="40" spans="1:14" ht="22.95" customHeight="1">
      <c r="A40" s="1"/>
      <c r="B40" s="1"/>
      <c r="C40" s="1"/>
      <c r="D40" s="1"/>
      <c r="E40" s="1"/>
      <c r="F40" s="1"/>
      <c r="G40" s="1"/>
      <c r="H40" s="1"/>
      <c r="I40" s="1"/>
      <c r="J40" s="1"/>
      <c r="K40" s="1"/>
      <c r="L40" s="1"/>
      <c r="M40" s="1"/>
      <c r="N40" s="1"/>
    </row>
    <row r="41" spans="1:14" ht="22.95" customHeight="1">
      <c r="A41" s="1"/>
      <c r="B41" s="1"/>
      <c r="C41" s="1"/>
      <c r="D41" s="1"/>
      <c r="E41" s="1"/>
      <c r="F41" s="1"/>
      <c r="G41" s="1"/>
      <c r="H41" s="1"/>
      <c r="I41" s="1"/>
      <c r="J41" s="1"/>
      <c r="K41" s="1"/>
      <c r="L41" s="1"/>
      <c r="M41" s="1"/>
      <c r="N41" s="1"/>
    </row>
    <row r="42" spans="1:14" ht="22.95" customHeight="1">
      <c r="A42" s="1"/>
      <c r="B42" s="1"/>
      <c r="C42" s="8" t="s">
        <v>375</v>
      </c>
      <c r="D42" s="8"/>
      <c r="E42" s="8"/>
      <c r="F42" s="8"/>
      <c r="G42" s="8"/>
      <c r="H42" s="8"/>
      <c r="I42" s="8"/>
      <c r="J42" s="8"/>
      <c r="K42" s="8"/>
      <c r="L42" s="8"/>
      <c r="M42" s="8"/>
      <c r="N42" s="8"/>
    </row>
    <row r="43" spans="1:14" ht="22.95" customHeight="1">
      <c r="A43" s="1"/>
      <c r="B43" s="1"/>
      <c r="C43" s="1"/>
      <c r="D43" s="1"/>
      <c r="E43" s="1"/>
      <c r="F43" s="1"/>
      <c r="G43" s="1"/>
      <c r="H43" s="1"/>
      <c r="I43" s="1"/>
      <c r="J43" s="1"/>
      <c r="K43" s="1"/>
      <c r="L43" s="1"/>
      <c r="M43" s="1"/>
      <c r="N43" s="1"/>
    </row>
    <row r="44" spans="1:14" ht="22.95" customHeight="1">
      <c r="A44" s="1"/>
      <c r="B44" s="1"/>
      <c r="C44" s="1" t="s">
        <v>376</v>
      </c>
      <c r="D44" s="1" t="s">
        <v>11</v>
      </c>
      <c r="E44" s="1"/>
      <c r="F44" s="25">
        <v>10400000</v>
      </c>
      <c r="G44" s="1"/>
      <c r="H44" s="1"/>
      <c r="I44" s="1"/>
      <c r="J44" s="1"/>
      <c r="K44" s="1"/>
      <c r="L44" s="1"/>
      <c r="M44" s="1"/>
      <c r="N44" s="1"/>
    </row>
    <row r="45" spans="1:14" ht="22.95" customHeight="1">
      <c r="A45" s="1"/>
      <c r="B45" s="1"/>
      <c r="C45" s="1" t="s">
        <v>377</v>
      </c>
      <c r="D45" s="1" t="s">
        <v>11</v>
      </c>
      <c r="E45" s="1"/>
      <c r="F45" s="25">
        <v>1000000</v>
      </c>
      <c r="G45" s="1"/>
      <c r="H45" s="1"/>
      <c r="I45" s="1"/>
      <c r="J45" s="1"/>
      <c r="K45" s="1"/>
      <c r="L45" s="1"/>
      <c r="M45" s="1"/>
      <c r="N45" s="1"/>
    </row>
    <row r="46" spans="1:14" ht="22.95" customHeight="1">
      <c r="A46" s="1"/>
      <c r="B46" s="1"/>
      <c r="C46" s="1" t="s">
        <v>378</v>
      </c>
      <c r="D46" s="1" t="s">
        <v>11</v>
      </c>
      <c r="E46" s="1"/>
      <c r="F46" s="19">
        <f>F44-F45</f>
        <v>9400000</v>
      </c>
      <c r="G46" s="1"/>
      <c r="H46" s="1"/>
      <c r="I46" s="1"/>
      <c r="J46" s="1"/>
      <c r="K46" s="1"/>
      <c r="L46" s="1"/>
      <c r="M46" s="1"/>
      <c r="N46" s="1"/>
    </row>
    <row r="47" spans="1:14" ht="22.95" customHeight="1">
      <c r="A47" s="1"/>
      <c r="B47" s="1"/>
      <c r="C47" s="1" t="s">
        <v>379</v>
      </c>
      <c r="D47" s="1" t="s">
        <v>11</v>
      </c>
      <c r="E47" s="1"/>
      <c r="F47" s="25">
        <v>9000000</v>
      </c>
      <c r="G47" s="1"/>
      <c r="H47" s="1"/>
      <c r="I47" s="1"/>
      <c r="J47" s="1"/>
      <c r="K47" s="1"/>
      <c r="L47" s="1"/>
      <c r="M47" s="1"/>
      <c r="N47" s="1"/>
    </row>
    <row r="48" spans="1:14" ht="22.95" customHeight="1">
      <c r="A48" s="1"/>
      <c r="B48" s="1"/>
      <c r="C48" s="1" t="s">
        <v>380</v>
      </c>
      <c r="D48" s="1" t="s">
        <v>11</v>
      </c>
      <c r="E48" s="1"/>
      <c r="F48" s="19">
        <f>F46-F47</f>
        <v>400000</v>
      </c>
      <c r="G48" s="1"/>
      <c r="H48" s="1"/>
      <c r="I48" s="1"/>
      <c r="J48" s="1"/>
      <c r="K48" s="1"/>
      <c r="L48" s="1"/>
      <c r="M48" s="1"/>
      <c r="N48" s="1"/>
    </row>
    <row r="49" spans="1:14" ht="22.95" customHeight="1">
      <c r="A49" s="1"/>
      <c r="B49" s="1"/>
      <c r="C49" s="1"/>
      <c r="D49" s="1"/>
      <c r="E49" s="1"/>
      <c r="F49" s="1"/>
      <c r="G49" s="1"/>
      <c r="H49" s="1"/>
      <c r="I49" s="1"/>
      <c r="J49" s="1"/>
      <c r="K49" s="1"/>
      <c r="L49" s="1"/>
      <c r="M49" s="1"/>
      <c r="N49" s="1"/>
    </row>
    <row r="50" spans="1:14" ht="36" customHeight="1">
      <c r="A50" s="1"/>
      <c r="B50" s="1"/>
      <c r="C50" s="35" t="s">
        <v>381</v>
      </c>
      <c r="D50" s="35"/>
      <c r="E50" s="35"/>
      <c r="F50" s="35"/>
      <c r="G50" s="35"/>
      <c r="H50" s="35"/>
      <c r="I50" s="35"/>
      <c r="J50" s="35"/>
      <c r="K50" s="35"/>
      <c r="L50" s="35"/>
      <c r="M50" s="35"/>
      <c r="N50" s="35"/>
    </row>
    <row r="51" spans="1:14" ht="22.95" customHeight="1">
      <c r="A51" s="1"/>
      <c r="B51" s="1"/>
      <c r="C51" s="1"/>
      <c r="D51" s="1"/>
      <c r="E51" s="1"/>
      <c r="F51" s="1"/>
      <c r="G51" s="1"/>
      <c r="H51" s="1"/>
      <c r="I51" s="1"/>
      <c r="J51" s="1"/>
      <c r="K51" s="1"/>
      <c r="L51" s="1"/>
      <c r="M51" s="1"/>
      <c r="N51" s="1"/>
    </row>
    <row r="52" spans="1:14" ht="22.95" customHeight="1">
      <c r="A52" s="1"/>
      <c r="B52" s="1"/>
      <c r="C52" s="1"/>
      <c r="D52" s="1"/>
      <c r="E52" s="1"/>
      <c r="F52" s="1"/>
      <c r="G52" s="1"/>
      <c r="H52" s="1"/>
      <c r="I52" s="1"/>
      <c r="J52" s="1"/>
      <c r="K52" s="1"/>
      <c r="L52" s="1"/>
      <c r="M52" s="1"/>
      <c r="N52" s="1"/>
    </row>
    <row r="53" spans="1:14" ht="22.95" customHeight="1">
      <c r="A53" s="1"/>
      <c r="B53" s="1"/>
      <c r="C53" s="1"/>
      <c r="D53" s="1"/>
      <c r="E53" s="1"/>
      <c r="F53" s="1"/>
      <c r="G53" s="1"/>
      <c r="H53" s="1"/>
      <c r="I53" s="1"/>
      <c r="J53" s="1"/>
      <c r="K53" s="1"/>
      <c r="L53" s="1"/>
      <c r="M53" s="1"/>
      <c r="N53" s="1"/>
    </row>
    <row r="54" spans="1:14" ht="22.95" customHeight="1">
      <c r="A54" s="1"/>
      <c r="B54" s="1"/>
      <c r="C54" s="1"/>
      <c r="D54" s="1"/>
      <c r="E54" s="1"/>
      <c r="F54" s="1"/>
      <c r="G54" s="1"/>
      <c r="H54" s="1"/>
      <c r="I54" s="1"/>
      <c r="J54" s="1"/>
      <c r="K54" s="1"/>
      <c r="L54" s="1"/>
      <c r="M54" s="1"/>
      <c r="N54" s="1"/>
    </row>
    <row r="55" spans="1:14" ht="22.95" customHeight="1">
      <c r="A55" s="1"/>
      <c r="B55" s="1"/>
      <c r="C55" s="1"/>
      <c r="D55" s="1"/>
      <c r="E55" s="1"/>
      <c r="F55" s="1"/>
      <c r="G55" s="1"/>
      <c r="H55" s="1"/>
      <c r="I55" s="1"/>
      <c r="J55" s="1"/>
      <c r="K55" s="1"/>
      <c r="L55" s="1"/>
      <c r="M55" s="1"/>
      <c r="N55" s="1"/>
    </row>
    <row r="56" spans="1:14" ht="22.95" customHeight="1">
      <c r="A56" s="1"/>
      <c r="B56" s="1"/>
      <c r="C56" s="1"/>
      <c r="D56" s="1"/>
      <c r="E56" s="1"/>
      <c r="F56" s="1"/>
      <c r="G56" s="1"/>
      <c r="H56" s="1"/>
      <c r="I56" s="1"/>
      <c r="J56" s="1"/>
      <c r="K56" s="1"/>
      <c r="L56" s="1"/>
      <c r="M56" s="1"/>
      <c r="N56" s="1"/>
    </row>
    <row r="57" spans="1:14" ht="22.95" customHeight="1">
      <c r="A57" s="1"/>
      <c r="B57" s="1"/>
      <c r="C57" s="1"/>
      <c r="D57" s="1"/>
      <c r="E57" s="1"/>
      <c r="F57" s="1"/>
      <c r="G57" s="1"/>
      <c r="H57" s="1"/>
      <c r="I57" s="1"/>
      <c r="J57" s="1"/>
      <c r="K57" s="1"/>
      <c r="L57" s="1"/>
      <c r="M57" s="1"/>
      <c r="N57" s="1"/>
    </row>
    <row r="58" spans="1:14" ht="22.95" customHeight="1">
      <c r="A58" s="1"/>
      <c r="B58" s="1"/>
      <c r="C58" s="1"/>
      <c r="D58" s="1"/>
      <c r="E58" s="1"/>
      <c r="F58" s="1"/>
      <c r="G58" s="1"/>
      <c r="H58" s="1"/>
      <c r="I58" s="1"/>
      <c r="J58" s="1"/>
      <c r="K58" s="1"/>
      <c r="L58" s="1"/>
      <c r="M58" s="1"/>
      <c r="N58" s="1"/>
    </row>
  </sheetData>
  <mergeCells count="18">
    <mergeCell ref="C39:N39"/>
    <mergeCell ref="C50:N50"/>
    <mergeCell ref="E33:G33"/>
    <mergeCell ref="I33:L33"/>
    <mergeCell ref="E34:G34"/>
    <mergeCell ref="I34:L34"/>
    <mergeCell ref="C37:N37"/>
    <mergeCell ref="E30:G30"/>
    <mergeCell ref="I30:L30"/>
    <mergeCell ref="E31:G31"/>
    <mergeCell ref="I31:L31"/>
    <mergeCell ref="E32:G32"/>
    <mergeCell ref="I32:L32"/>
    <mergeCell ref="C5:N5"/>
    <mergeCell ref="E28:G28"/>
    <mergeCell ref="I28:L28"/>
    <mergeCell ref="E29:G29"/>
    <mergeCell ref="I29:L29"/>
  </mergeCells>
  <phoneticPr fontId="24" type="noConversion"/>
  <dataValidations count="6">
    <dataValidation type="list" sqref="H29">
      <formula1>"미확인,통과,수정,중단"</formula1>
    </dataValidation>
    <dataValidation type="list" sqref="H30">
      <formula1>"미확인,통과,수정,중단"</formula1>
    </dataValidation>
    <dataValidation type="list" sqref="H31">
      <formula1>"미확인,통과,수정,중단"</formula1>
    </dataValidation>
    <dataValidation type="list" sqref="H32">
      <formula1>"미확인,통과,수정,중단"</formula1>
    </dataValidation>
    <dataValidation type="list" sqref="H33">
      <formula1>"미확인,통과,수정,중단"</formula1>
    </dataValidation>
    <dataValidation type="list" sqref="H34">
      <formula1>"미확인,통과,수정,중단"</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N54"/>
  <sheetViews>
    <sheetView showGridLines="0" tabSelected="1" topLeftCell="A5" workbookViewId="0">
      <selection activeCell="E9" sqref="E9"/>
    </sheetView>
  </sheetViews>
  <sheetFormatPr defaultRowHeight="13.8"/>
  <cols>
    <col min="1" max="2" width="2.19921875" customWidth="1"/>
    <col min="3" max="3" width="26" customWidth="1"/>
    <col min="4" max="4" width="20" customWidth="1"/>
    <col min="5" max="5" width="28" customWidth="1"/>
    <col min="6" max="6" width="12" customWidth="1"/>
    <col min="7" max="7" width="14" customWidth="1"/>
    <col min="8" max="8" width="25" customWidth="1"/>
    <col min="9" max="9" width="38" customWidth="1"/>
    <col min="10" max="10" width="12" customWidth="1"/>
    <col min="11" max="12" width="22" customWidth="1"/>
  </cols>
  <sheetData>
    <row r="1" spans="1:14" ht="22.95" customHeight="1">
      <c r="A1" s="1"/>
      <c r="B1" s="1"/>
      <c r="C1" s="1"/>
      <c r="D1" s="1"/>
      <c r="E1" s="1"/>
      <c r="F1" s="1"/>
      <c r="G1" s="1"/>
      <c r="H1" s="1"/>
      <c r="I1" s="1"/>
      <c r="J1" s="1"/>
      <c r="K1" s="1"/>
      <c r="L1" s="1"/>
      <c r="M1" s="1"/>
      <c r="N1" s="1"/>
    </row>
    <row r="2" spans="1:14" ht="34.950000000000003" customHeight="1">
      <c r="A2" s="1"/>
      <c r="B2" s="1"/>
      <c r="C2" s="2" t="s">
        <v>382</v>
      </c>
      <c r="D2" s="1"/>
      <c r="E2" s="1"/>
      <c r="F2" s="1"/>
      <c r="G2" s="1"/>
      <c r="H2" s="1"/>
      <c r="I2" s="1"/>
      <c r="J2" s="1"/>
      <c r="K2" s="1"/>
      <c r="L2" s="1"/>
      <c r="M2" s="1"/>
      <c r="N2" s="1"/>
    </row>
    <row r="3" spans="1:14" ht="22.95" customHeight="1">
      <c r="A3" s="1"/>
      <c r="B3" s="1"/>
      <c r="C3" s="1"/>
      <c r="D3" s="1"/>
      <c r="E3" s="1"/>
      <c r="F3" s="1"/>
      <c r="G3" s="1"/>
      <c r="H3" s="1"/>
      <c r="I3" s="1"/>
      <c r="J3" s="1"/>
      <c r="K3" s="1"/>
      <c r="L3" s="1"/>
      <c r="M3" s="1"/>
      <c r="N3" s="1"/>
    </row>
    <row r="4" spans="1:14" ht="22.95" customHeight="1">
      <c r="A4" s="1"/>
      <c r="B4" s="1"/>
      <c r="C4" s="1" t="s">
        <v>1</v>
      </c>
      <c r="D4" s="1"/>
      <c r="E4" s="1"/>
      <c r="F4" s="31" t="str">
        <f>'01_가정'!H4</f>
        <v>보수</v>
      </c>
      <c r="G4" s="1"/>
      <c r="H4" s="1"/>
      <c r="I4" s="1"/>
      <c r="J4" s="1"/>
      <c r="K4" s="1"/>
      <c r="L4" s="1"/>
      <c r="M4" s="1"/>
      <c r="N4" s="1"/>
    </row>
    <row r="5" spans="1:14" ht="36" customHeight="1">
      <c r="A5" s="1"/>
      <c r="B5" s="1"/>
      <c r="C5" s="35" t="s">
        <v>383</v>
      </c>
      <c r="D5" s="35"/>
      <c r="E5" s="35"/>
      <c r="F5" s="35"/>
      <c r="G5" s="35"/>
      <c r="H5" s="35"/>
      <c r="I5" s="35"/>
      <c r="J5" s="35"/>
      <c r="K5" s="35"/>
      <c r="L5" s="35"/>
      <c r="M5" s="35"/>
      <c r="N5" s="35"/>
    </row>
    <row r="6" spans="1:14" ht="22.95" customHeight="1">
      <c r="A6" s="1"/>
      <c r="B6" s="1"/>
      <c r="C6" s="1"/>
      <c r="D6" s="1"/>
      <c r="E6" s="1"/>
      <c r="F6" s="1"/>
      <c r="G6" s="1"/>
      <c r="H6" s="1"/>
      <c r="I6" s="1"/>
      <c r="J6" s="1"/>
      <c r="K6" s="1"/>
      <c r="L6" s="1"/>
      <c r="M6" s="1"/>
      <c r="N6" s="1"/>
    </row>
    <row r="7" spans="1:14" ht="30" customHeight="1">
      <c r="A7" s="1"/>
      <c r="B7" s="1"/>
      <c r="C7" s="7" t="s">
        <v>384</v>
      </c>
      <c r="D7" s="7" t="s">
        <v>385</v>
      </c>
      <c r="E7" s="7" t="s">
        <v>386</v>
      </c>
      <c r="F7" s="7" t="s">
        <v>387</v>
      </c>
      <c r="G7" s="7" t="s">
        <v>388</v>
      </c>
      <c r="H7" s="7" t="s">
        <v>389</v>
      </c>
      <c r="I7" s="7" t="s">
        <v>390</v>
      </c>
      <c r="J7" s="7" t="s">
        <v>391</v>
      </c>
      <c r="K7" s="1"/>
      <c r="L7" s="1"/>
      <c r="M7" s="1"/>
      <c r="N7" s="1"/>
    </row>
    <row r="8" spans="1:14" ht="72" customHeight="1">
      <c r="A8" s="1"/>
      <c r="B8" s="1"/>
      <c r="C8" s="6" t="s">
        <v>392</v>
      </c>
      <c r="D8" s="6" t="s">
        <v>393</v>
      </c>
      <c r="E8" s="6" t="s">
        <v>770</v>
      </c>
      <c r="F8" s="6" t="s">
        <v>394</v>
      </c>
      <c r="G8" s="27">
        <v>79.989999999999995</v>
      </c>
      <c r="H8" s="6" t="s">
        <v>771</v>
      </c>
      <c r="I8" s="6" t="s">
        <v>772</v>
      </c>
      <c r="J8" s="6" t="s">
        <v>395</v>
      </c>
      <c r="K8" s="1"/>
      <c r="L8" s="1"/>
      <c r="M8" s="1"/>
      <c r="N8" s="1"/>
    </row>
    <row r="9" spans="1:14" ht="72" customHeight="1">
      <c r="A9" s="1"/>
      <c r="B9" s="1"/>
      <c r="C9" s="6" t="s">
        <v>396</v>
      </c>
      <c r="D9" s="6" t="s">
        <v>393</v>
      </c>
      <c r="E9" s="6" t="s">
        <v>397</v>
      </c>
      <c r="F9" s="6" t="s">
        <v>398</v>
      </c>
      <c r="G9" s="27">
        <v>129</v>
      </c>
      <c r="H9" s="6" t="s">
        <v>399</v>
      </c>
      <c r="I9" s="6" t="s">
        <v>400</v>
      </c>
      <c r="J9" s="6" t="s">
        <v>401</v>
      </c>
      <c r="K9" s="1"/>
      <c r="L9" s="1"/>
      <c r="M9" s="1"/>
      <c r="N9" s="1"/>
    </row>
    <row r="10" spans="1:14" ht="72" customHeight="1">
      <c r="A10" s="1"/>
      <c r="B10" s="1"/>
      <c r="C10" s="6" t="s">
        <v>402</v>
      </c>
      <c r="D10" s="6" t="s">
        <v>393</v>
      </c>
      <c r="E10" s="6" t="s">
        <v>403</v>
      </c>
      <c r="F10" s="6" t="s">
        <v>353</v>
      </c>
      <c r="G10" s="27"/>
      <c r="H10" s="6" t="s">
        <v>404</v>
      </c>
      <c r="I10" s="6" t="s">
        <v>405</v>
      </c>
      <c r="J10" s="6" t="s">
        <v>406</v>
      </c>
      <c r="K10" s="1"/>
      <c r="L10" s="1"/>
      <c r="M10" s="1"/>
      <c r="N10" s="1"/>
    </row>
    <row r="11" spans="1:14" ht="72" customHeight="1">
      <c r="A11" s="1"/>
      <c r="B11" s="1"/>
      <c r="C11" s="6" t="s">
        <v>407</v>
      </c>
      <c r="D11" s="6" t="s">
        <v>408</v>
      </c>
      <c r="E11" s="6" t="s">
        <v>409</v>
      </c>
      <c r="F11" s="6" t="s">
        <v>353</v>
      </c>
      <c r="G11" s="27"/>
      <c r="H11" s="6" t="s">
        <v>410</v>
      </c>
      <c r="I11" s="6" t="s">
        <v>411</v>
      </c>
      <c r="J11" s="6" t="s">
        <v>412</v>
      </c>
      <c r="K11" s="1"/>
      <c r="L11" s="1"/>
      <c r="M11" s="1"/>
      <c r="N11" s="1"/>
    </row>
    <row r="12" spans="1:14" ht="72" customHeight="1">
      <c r="A12" s="1"/>
      <c r="B12" s="1"/>
      <c r="C12" s="6" t="s">
        <v>413</v>
      </c>
      <c r="D12" s="6" t="s">
        <v>414</v>
      </c>
      <c r="E12" s="6" t="s">
        <v>415</v>
      </c>
      <c r="F12" s="6" t="s">
        <v>353</v>
      </c>
      <c r="G12" s="27"/>
      <c r="H12" s="6" t="s">
        <v>416</v>
      </c>
      <c r="I12" s="6" t="s">
        <v>417</v>
      </c>
      <c r="J12" s="6" t="s">
        <v>418</v>
      </c>
      <c r="K12" s="1"/>
      <c r="L12" s="1"/>
      <c r="M12" s="1"/>
      <c r="N12" s="1"/>
    </row>
    <row r="13" spans="1:14" ht="72" customHeight="1">
      <c r="A13" s="1"/>
      <c r="B13" s="1"/>
      <c r="C13" s="6" t="s">
        <v>419</v>
      </c>
      <c r="D13" s="6" t="s">
        <v>420</v>
      </c>
      <c r="E13" s="6" t="s">
        <v>421</v>
      </c>
      <c r="F13" s="6" t="s">
        <v>422</v>
      </c>
      <c r="G13" s="27">
        <v>159000</v>
      </c>
      <c r="H13" s="6" t="s">
        <v>423</v>
      </c>
      <c r="I13" s="6" t="s">
        <v>424</v>
      </c>
      <c r="J13" s="6" t="s">
        <v>425</v>
      </c>
      <c r="K13" s="1"/>
      <c r="L13" s="1"/>
      <c r="M13" s="1"/>
      <c r="N13" s="1"/>
    </row>
    <row r="14" spans="1:14" ht="72" customHeight="1">
      <c r="A14" s="1"/>
      <c r="B14" s="1"/>
      <c r="C14" s="6" t="s">
        <v>426</v>
      </c>
      <c r="D14" s="6" t="s">
        <v>420</v>
      </c>
      <c r="E14" s="6" t="s">
        <v>427</v>
      </c>
      <c r="F14" s="6" t="s">
        <v>422</v>
      </c>
      <c r="G14" s="27">
        <v>59900</v>
      </c>
      <c r="H14" s="6" t="s">
        <v>428</v>
      </c>
      <c r="I14" s="6" t="s">
        <v>429</v>
      </c>
      <c r="J14" s="6" t="s">
        <v>430</v>
      </c>
      <c r="K14" s="1"/>
      <c r="L14" s="1"/>
      <c r="M14" s="1"/>
      <c r="N14" s="1"/>
    </row>
    <row r="15" spans="1:14" ht="72" customHeight="1">
      <c r="A15" s="1"/>
      <c r="B15" s="1"/>
      <c r="C15" s="6" t="s">
        <v>431</v>
      </c>
      <c r="D15" s="6" t="s">
        <v>432</v>
      </c>
      <c r="E15" s="6" t="s">
        <v>433</v>
      </c>
      <c r="F15" s="6" t="s">
        <v>353</v>
      </c>
      <c r="G15" s="27"/>
      <c r="H15" s="6" t="s">
        <v>434</v>
      </c>
      <c r="I15" s="6" t="s">
        <v>435</v>
      </c>
      <c r="J15" s="6" t="s">
        <v>436</v>
      </c>
      <c r="K15" s="1"/>
      <c r="L15" s="1"/>
      <c r="M15" s="1"/>
      <c r="N15" s="1"/>
    </row>
    <row r="16" spans="1:14" ht="72" customHeight="1">
      <c r="A16" s="1"/>
      <c r="B16" s="1"/>
      <c r="C16" s="6" t="s">
        <v>437</v>
      </c>
      <c r="D16" s="6" t="s">
        <v>438</v>
      </c>
      <c r="E16" s="6" t="s">
        <v>439</v>
      </c>
      <c r="F16" s="6" t="s">
        <v>353</v>
      </c>
      <c r="G16" s="27"/>
      <c r="H16" s="6" t="s">
        <v>440</v>
      </c>
      <c r="I16" s="6" t="s">
        <v>441</v>
      </c>
      <c r="J16" s="6" t="s">
        <v>442</v>
      </c>
      <c r="K16" s="1"/>
      <c r="L16" s="1"/>
      <c r="M16" s="1"/>
      <c r="N16" s="1"/>
    </row>
    <row r="17" spans="1:14" ht="22.95" customHeight="1">
      <c r="A17" s="1"/>
      <c r="B17" s="1"/>
      <c r="C17" s="1"/>
      <c r="D17" s="1"/>
      <c r="E17" s="1"/>
      <c r="F17" s="1"/>
      <c r="G17" s="1"/>
      <c r="H17" s="1"/>
      <c r="I17" s="1"/>
      <c r="J17" s="1"/>
      <c r="K17" s="1"/>
      <c r="L17" s="1"/>
      <c r="M17" s="1"/>
      <c r="N17" s="1"/>
    </row>
    <row r="18" spans="1:14" ht="22.95" customHeight="1">
      <c r="A18" s="1"/>
      <c r="B18" s="1"/>
      <c r="C18" s="1"/>
      <c r="D18" s="1"/>
      <c r="E18" s="1"/>
      <c r="F18" s="1"/>
      <c r="G18" s="1"/>
      <c r="H18" s="1"/>
      <c r="I18" s="1"/>
      <c r="J18" s="1"/>
      <c r="K18" s="1"/>
      <c r="L18" s="1"/>
      <c r="M18" s="1"/>
      <c r="N18" s="1"/>
    </row>
    <row r="19" spans="1:14" ht="36" customHeight="1">
      <c r="A19" s="1"/>
      <c r="B19" s="1"/>
      <c r="C19" s="35" t="s">
        <v>443</v>
      </c>
      <c r="D19" s="35"/>
      <c r="E19" s="35"/>
      <c r="F19" s="35"/>
      <c r="G19" s="35"/>
      <c r="H19" s="35"/>
      <c r="I19" s="35"/>
      <c r="J19" s="35"/>
      <c r="K19" s="1"/>
      <c r="L19" s="1"/>
      <c r="M19" s="1"/>
      <c r="N19" s="1"/>
    </row>
    <row r="20" spans="1:14" ht="22.95" customHeight="1">
      <c r="A20" s="1"/>
      <c r="B20" s="1"/>
      <c r="C20" s="1"/>
      <c r="D20" s="1"/>
      <c r="E20" s="1"/>
      <c r="F20" s="1"/>
      <c r="G20" s="1"/>
      <c r="H20" s="1"/>
      <c r="I20" s="1"/>
      <c r="J20" s="1"/>
      <c r="K20" s="1"/>
      <c r="L20" s="1"/>
      <c r="M20" s="1"/>
      <c r="N20" s="1"/>
    </row>
    <row r="21" spans="1:14" ht="22.95" customHeight="1">
      <c r="A21" s="1"/>
      <c r="B21" s="1"/>
      <c r="C21" s="1"/>
      <c r="D21" s="1"/>
      <c r="E21" s="1"/>
      <c r="F21" s="1"/>
      <c r="G21" s="1"/>
      <c r="H21" s="1"/>
      <c r="I21" s="1"/>
      <c r="J21" s="1"/>
      <c r="K21" s="1"/>
      <c r="L21" s="1"/>
      <c r="M21" s="1"/>
      <c r="N21" s="1"/>
    </row>
    <row r="22" spans="1:14" ht="22.95" customHeight="1">
      <c r="A22" s="1"/>
      <c r="B22" s="1"/>
      <c r="C22" s="8" t="s">
        <v>444</v>
      </c>
      <c r="D22" s="8"/>
      <c r="E22" s="8"/>
      <c r="F22" s="8"/>
      <c r="G22" s="8"/>
      <c r="H22" s="8"/>
      <c r="I22" s="8"/>
      <c r="J22" s="8"/>
      <c r="K22" s="1"/>
      <c r="L22" s="1"/>
      <c r="M22" s="1"/>
      <c r="N22" s="1"/>
    </row>
    <row r="23" spans="1:14" ht="22.95" customHeight="1">
      <c r="A23" s="1"/>
      <c r="B23" s="1"/>
      <c r="C23" s="1"/>
      <c r="D23" s="1"/>
      <c r="E23" s="1"/>
      <c r="F23" s="1"/>
      <c r="G23" s="1"/>
      <c r="H23" s="1"/>
      <c r="I23" s="1"/>
      <c r="J23" s="1"/>
      <c r="K23" s="1"/>
      <c r="L23" s="1"/>
      <c r="M23" s="1"/>
      <c r="N23" s="1"/>
    </row>
    <row r="24" spans="1:14" ht="22.95" customHeight="1">
      <c r="A24" s="1"/>
      <c r="B24" s="1"/>
      <c r="C24" s="1" t="s">
        <v>445</v>
      </c>
      <c r="D24" s="1" t="s">
        <v>63</v>
      </c>
      <c r="E24" s="1"/>
      <c r="F24" s="17">
        <f>'01_가정'!$F$110</f>
        <v>1000000</v>
      </c>
      <c r="G24" s="1"/>
      <c r="H24" s="1"/>
      <c r="I24" s="1"/>
      <c r="J24" s="1"/>
      <c r="K24" s="1"/>
      <c r="L24" s="1"/>
      <c r="M24" s="1"/>
      <c r="N24" s="1"/>
    </row>
    <row r="25" spans="1:14" ht="22.95" customHeight="1">
      <c r="A25" s="1"/>
      <c r="B25" s="1"/>
      <c r="C25" s="1" t="s">
        <v>446</v>
      </c>
      <c r="D25" s="1" t="s">
        <v>54</v>
      </c>
      <c r="E25" s="1"/>
      <c r="F25" s="18">
        <f>'01_가정'!$F$111</f>
        <v>0.2</v>
      </c>
      <c r="G25" s="1"/>
      <c r="H25" s="1"/>
      <c r="I25" s="1"/>
      <c r="J25" s="1"/>
      <c r="K25" s="1"/>
      <c r="L25" s="1"/>
      <c r="M25" s="1"/>
      <c r="N25" s="1"/>
    </row>
    <row r="26" spans="1:14" ht="22.95" customHeight="1">
      <c r="A26" s="1"/>
      <c r="B26" s="1"/>
      <c r="C26" s="1" t="s">
        <v>145</v>
      </c>
      <c r="D26" s="1" t="s">
        <v>54</v>
      </c>
      <c r="E26" s="1"/>
      <c r="F26" s="18">
        <f>'01_가정'!$F$112</f>
        <v>0.3</v>
      </c>
      <c r="G26" s="1"/>
      <c r="H26" s="1"/>
      <c r="I26" s="1"/>
      <c r="J26" s="1"/>
      <c r="K26" s="1"/>
      <c r="L26" s="1"/>
      <c r="M26" s="1"/>
      <c r="N26" s="1"/>
    </row>
    <row r="27" spans="1:14" ht="22.95" customHeight="1">
      <c r="A27" s="1"/>
      <c r="B27" s="1"/>
      <c r="C27" s="1" t="s">
        <v>447</v>
      </c>
      <c r="D27" s="1" t="s">
        <v>63</v>
      </c>
      <c r="E27" s="1"/>
      <c r="F27" s="19">
        <f>F24*F25*F26</f>
        <v>60000</v>
      </c>
      <c r="G27" s="1"/>
      <c r="H27" s="1"/>
      <c r="I27" s="1"/>
      <c r="J27" s="1"/>
      <c r="K27" s="1"/>
      <c r="L27" s="1"/>
      <c r="M27" s="1"/>
      <c r="N27" s="1"/>
    </row>
    <row r="28" spans="1:14" ht="22.95" customHeight="1">
      <c r="A28" s="1"/>
      <c r="B28" s="1"/>
      <c r="C28" s="1" t="s">
        <v>43</v>
      </c>
      <c r="D28" s="1" t="s">
        <v>11</v>
      </c>
      <c r="E28" s="1"/>
      <c r="F28" s="17">
        <f>'01_가정'!F10</f>
        <v>129000</v>
      </c>
      <c r="G28" s="1"/>
      <c r="H28" s="1"/>
      <c r="I28" s="1"/>
      <c r="J28" s="1"/>
      <c r="K28" s="1"/>
      <c r="L28" s="1"/>
      <c r="M28" s="1"/>
      <c r="N28" s="1"/>
    </row>
    <row r="29" spans="1:14" ht="22.95" customHeight="1">
      <c r="A29" s="1"/>
      <c r="B29" s="1"/>
      <c r="C29" s="1" t="s">
        <v>448</v>
      </c>
      <c r="D29" s="1" t="s">
        <v>11</v>
      </c>
      <c r="E29" s="1"/>
      <c r="F29" s="19">
        <f>F27*F28</f>
        <v>7740000000</v>
      </c>
      <c r="G29" s="1"/>
      <c r="H29" s="1"/>
      <c r="I29" s="1"/>
      <c r="J29" s="1"/>
      <c r="K29" s="1"/>
      <c r="L29" s="1"/>
      <c r="M29" s="1"/>
      <c r="N29" s="1"/>
    </row>
    <row r="30" spans="1:14" ht="22.95" customHeight="1">
      <c r="A30" s="1"/>
      <c r="B30" s="1"/>
      <c r="C30" s="1" t="s">
        <v>147</v>
      </c>
      <c r="D30" s="1" t="s">
        <v>54</v>
      </c>
      <c r="E30" s="1"/>
      <c r="F30" s="18">
        <f>'01_가정'!$F$113</f>
        <v>0.1</v>
      </c>
      <c r="G30" s="1"/>
      <c r="H30" s="1"/>
      <c r="I30" s="1"/>
      <c r="J30" s="1"/>
      <c r="K30" s="1"/>
      <c r="L30" s="1"/>
      <c r="M30" s="1"/>
      <c r="N30" s="1"/>
    </row>
    <row r="31" spans="1:14" ht="22.95" customHeight="1">
      <c r="A31" s="1"/>
      <c r="B31" s="1"/>
      <c r="C31" s="1" t="s">
        <v>449</v>
      </c>
      <c r="D31" s="1" t="s">
        <v>11</v>
      </c>
      <c r="E31" s="1"/>
      <c r="F31" s="19">
        <f>F29*F30</f>
        <v>774000000</v>
      </c>
      <c r="G31" s="1"/>
      <c r="H31" s="1"/>
      <c r="I31" s="1"/>
      <c r="J31" s="1"/>
      <c r="K31" s="1"/>
      <c r="L31" s="1"/>
      <c r="M31" s="1"/>
      <c r="N31" s="1"/>
    </row>
    <row r="32" spans="1:14" ht="22.95" customHeight="1">
      <c r="A32" s="1"/>
      <c r="B32" s="1"/>
      <c r="C32" s="1"/>
      <c r="D32" s="1"/>
      <c r="E32" s="1"/>
      <c r="F32" s="1"/>
      <c r="G32" s="1"/>
      <c r="H32" s="1"/>
      <c r="I32" s="1"/>
      <c r="J32" s="1"/>
      <c r="K32" s="1"/>
      <c r="L32" s="1"/>
      <c r="M32" s="1"/>
      <c r="N32" s="1"/>
    </row>
    <row r="33" spans="1:14" ht="22.95" customHeight="1">
      <c r="A33" s="1"/>
      <c r="B33" s="1"/>
      <c r="C33" s="1" t="s">
        <v>450</v>
      </c>
      <c r="D33" s="1" t="s">
        <v>9</v>
      </c>
      <c r="E33" s="1"/>
      <c r="F33" s="17">
        <f>'03_월별손익'!F17</f>
        <v>56</v>
      </c>
      <c r="G33" s="1"/>
      <c r="H33" s="1"/>
      <c r="I33" s="1"/>
      <c r="J33" s="1"/>
      <c r="K33" s="1"/>
      <c r="L33" s="1"/>
      <c r="M33" s="1"/>
      <c r="N33" s="1"/>
    </row>
    <row r="34" spans="1:14" ht="22.95" customHeight="1">
      <c r="A34" s="1"/>
      <c r="B34" s="1"/>
      <c r="C34" s="1" t="s">
        <v>451</v>
      </c>
      <c r="D34" s="1" t="s">
        <v>63</v>
      </c>
      <c r="E34" s="1"/>
      <c r="F34" s="17">
        <f>'03_월별손익'!F21</f>
        <v>47.599999999999994</v>
      </c>
      <c r="G34" s="1"/>
      <c r="H34" s="1"/>
      <c r="I34" s="1"/>
      <c r="J34" s="1"/>
      <c r="K34" s="1"/>
      <c r="L34" s="1"/>
      <c r="M34" s="1"/>
      <c r="N34" s="1"/>
    </row>
    <row r="35" spans="1:14" ht="22.95" customHeight="1">
      <c r="A35" s="1"/>
      <c r="B35" s="1"/>
      <c r="C35" s="1" t="s">
        <v>452</v>
      </c>
      <c r="D35" s="1" t="s">
        <v>11</v>
      </c>
      <c r="E35" s="1"/>
      <c r="F35" s="17">
        <f>'03_월별손익'!F33</f>
        <v>5612169.8181818174</v>
      </c>
      <c r="G35" s="1"/>
      <c r="H35" s="1"/>
      <c r="I35" s="1"/>
      <c r="J35" s="1"/>
      <c r="K35" s="1"/>
      <c r="L35" s="1"/>
      <c r="M35" s="1"/>
      <c r="N35" s="1"/>
    </row>
    <row r="36" spans="1:14" ht="22.95" customHeight="1">
      <c r="A36" s="1"/>
      <c r="B36" s="1"/>
      <c r="C36" s="1"/>
      <c r="D36" s="1"/>
      <c r="E36" s="1"/>
      <c r="F36" s="1"/>
      <c r="G36" s="1"/>
      <c r="H36" s="1"/>
      <c r="I36" s="1"/>
      <c r="J36" s="1"/>
      <c r="K36" s="1"/>
      <c r="L36" s="1"/>
      <c r="M36" s="1"/>
      <c r="N36" s="1"/>
    </row>
    <row r="37" spans="1:14" ht="22.95" customHeight="1">
      <c r="A37" s="1"/>
      <c r="B37" s="1"/>
      <c r="C37" s="1"/>
      <c r="D37" s="1"/>
      <c r="E37" s="1"/>
      <c r="F37" s="1"/>
      <c r="G37" s="1"/>
      <c r="H37" s="1"/>
      <c r="I37" s="1"/>
      <c r="J37" s="1"/>
      <c r="K37" s="1"/>
      <c r="L37" s="1"/>
      <c r="M37" s="1"/>
      <c r="N37" s="1"/>
    </row>
    <row r="38" spans="1:14" ht="36" customHeight="1">
      <c r="A38" s="1"/>
      <c r="B38" s="1"/>
      <c r="C38" s="35" t="s">
        <v>453</v>
      </c>
      <c r="D38" s="35"/>
      <c r="E38" s="35"/>
      <c r="F38" s="35"/>
      <c r="G38" s="35"/>
      <c r="H38" s="35"/>
      <c r="I38" s="35"/>
      <c r="J38" s="35"/>
      <c r="K38" s="1"/>
      <c r="L38" s="1"/>
      <c r="M38" s="1"/>
      <c r="N38" s="1"/>
    </row>
    <row r="39" spans="1:14" ht="22.95" customHeight="1">
      <c r="A39" s="1"/>
      <c r="B39" s="1"/>
      <c r="C39" s="1"/>
      <c r="D39" s="1"/>
      <c r="E39" s="1"/>
      <c r="F39" s="1"/>
      <c r="G39" s="1"/>
      <c r="H39" s="1"/>
      <c r="I39" s="1"/>
      <c r="J39" s="1"/>
      <c r="K39" s="1"/>
      <c r="L39" s="1"/>
      <c r="M39" s="1"/>
      <c r="N39" s="1"/>
    </row>
    <row r="40" spans="1:14" ht="36" customHeight="1">
      <c r="A40" s="1"/>
      <c r="B40" s="1"/>
      <c r="C40" s="35" t="s">
        <v>454</v>
      </c>
      <c r="D40" s="35"/>
      <c r="E40" s="35"/>
      <c r="F40" s="35"/>
      <c r="G40" s="35"/>
      <c r="H40" s="35"/>
      <c r="I40" s="35"/>
      <c r="J40" s="35"/>
      <c r="K40" s="1"/>
      <c r="L40" s="1"/>
      <c r="M40" s="1"/>
      <c r="N40" s="1"/>
    </row>
    <row r="41" spans="1:14" ht="22.95" customHeight="1">
      <c r="A41" s="1"/>
      <c r="B41" s="1"/>
      <c r="C41" s="1"/>
      <c r="D41" s="1"/>
      <c r="E41" s="1"/>
      <c r="F41" s="1"/>
      <c r="G41" s="1"/>
      <c r="H41" s="1"/>
      <c r="I41" s="1"/>
      <c r="J41" s="1"/>
      <c r="K41" s="1"/>
      <c r="L41" s="1"/>
      <c r="M41" s="1"/>
      <c r="N41" s="1"/>
    </row>
    <row r="42" spans="1:14" ht="36" customHeight="1">
      <c r="A42" s="1"/>
      <c r="B42" s="1"/>
      <c r="C42" s="35" t="s">
        <v>455</v>
      </c>
      <c r="D42" s="35"/>
      <c r="E42" s="35"/>
      <c r="F42" s="35"/>
      <c r="G42" s="35"/>
      <c r="H42" s="35"/>
      <c r="I42" s="35"/>
      <c r="J42" s="35"/>
      <c r="K42" s="1"/>
      <c r="L42" s="1"/>
      <c r="M42" s="1"/>
      <c r="N42" s="1"/>
    </row>
    <row r="43" spans="1:14" ht="22.95" customHeight="1">
      <c r="A43" s="1"/>
      <c r="B43" s="1"/>
      <c r="C43" s="1"/>
      <c r="D43" s="1"/>
      <c r="E43" s="1"/>
      <c r="F43" s="1"/>
      <c r="G43" s="1"/>
      <c r="H43" s="1"/>
      <c r="I43" s="1"/>
      <c r="J43" s="1"/>
      <c r="K43" s="1"/>
      <c r="L43" s="1"/>
      <c r="M43" s="1"/>
      <c r="N43" s="1"/>
    </row>
    <row r="44" spans="1:14" ht="22.95" customHeight="1">
      <c r="A44" s="1"/>
      <c r="B44" s="1"/>
      <c r="C44" s="1"/>
      <c r="D44" s="1"/>
      <c r="E44" s="1"/>
      <c r="F44" s="1"/>
      <c r="G44" s="1"/>
      <c r="H44" s="1"/>
      <c r="I44" s="1"/>
      <c r="J44" s="1"/>
      <c r="K44" s="1"/>
      <c r="L44" s="1"/>
      <c r="M44" s="1"/>
      <c r="N44" s="1"/>
    </row>
    <row r="45" spans="1:14" ht="22.95" customHeight="1">
      <c r="A45" s="1"/>
      <c r="B45" s="1"/>
      <c r="C45" s="1"/>
      <c r="D45" s="1"/>
      <c r="E45" s="1"/>
      <c r="F45" s="1"/>
      <c r="G45" s="1"/>
      <c r="H45" s="1"/>
      <c r="I45" s="1"/>
      <c r="J45" s="1"/>
      <c r="K45" s="1"/>
      <c r="L45" s="1"/>
      <c r="M45" s="1"/>
      <c r="N45" s="1"/>
    </row>
    <row r="46" spans="1:14" ht="22.95" customHeight="1">
      <c r="A46" s="1"/>
      <c r="B46" s="1"/>
      <c r="C46" s="1"/>
      <c r="D46" s="1"/>
      <c r="E46" s="1"/>
      <c r="F46" s="1"/>
      <c r="G46" s="1"/>
      <c r="H46" s="1"/>
      <c r="I46" s="1"/>
      <c r="J46" s="1"/>
      <c r="K46" s="1"/>
      <c r="L46" s="1"/>
      <c r="M46" s="1"/>
      <c r="N46" s="1"/>
    </row>
    <row r="47" spans="1:14" ht="22.95" customHeight="1">
      <c r="A47" s="1"/>
      <c r="B47" s="1"/>
      <c r="C47" s="1"/>
      <c r="D47" s="1"/>
      <c r="E47" s="1"/>
      <c r="F47" s="1"/>
      <c r="G47" s="1"/>
      <c r="H47" s="1"/>
      <c r="I47" s="1"/>
      <c r="J47" s="1"/>
      <c r="K47" s="1"/>
      <c r="L47" s="1"/>
      <c r="M47" s="1"/>
      <c r="N47" s="1"/>
    </row>
    <row r="48" spans="1:14" ht="22.95" customHeight="1">
      <c r="A48" s="1"/>
      <c r="B48" s="1"/>
      <c r="C48" s="1"/>
      <c r="D48" s="1"/>
      <c r="E48" s="1"/>
      <c r="F48" s="1"/>
      <c r="G48" s="1"/>
      <c r="H48" s="1"/>
      <c r="I48" s="1"/>
      <c r="J48" s="1"/>
      <c r="K48" s="1"/>
      <c r="L48" s="1"/>
      <c r="M48" s="1"/>
      <c r="N48" s="1"/>
    </row>
    <row r="49" spans="1:14" ht="22.95" customHeight="1">
      <c r="A49" s="1"/>
      <c r="B49" s="1"/>
      <c r="C49" s="1"/>
      <c r="D49" s="1"/>
      <c r="E49" s="1"/>
      <c r="F49" s="1"/>
      <c r="G49" s="1"/>
      <c r="H49" s="1"/>
      <c r="I49" s="1"/>
      <c r="J49" s="1"/>
      <c r="K49" s="1"/>
      <c r="L49" s="1"/>
      <c r="M49" s="1"/>
      <c r="N49" s="1"/>
    </row>
    <row r="50" spans="1:14" ht="22.95" customHeight="1">
      <c r="A50" s="1"/>
      <c r="B50" s="1"/>
      <c r="C50" s="1"/>
      <c r="D50" s="1"/>
      <c r="E50" s="1"/>
      <c r="F50" s="1"/>
      <c r="G50" s="1"/>
      <c r="H50" s="1"/>
      <c r="I50" s="1"/>
      <c r="J50" s="1"/>
      <c r="K50" s="1"/>
      <c r="L50" s="1"/>
      <c r="M50" s="1"/>
      <c r="N50" s="1"/>
    </row>
    <row r="51" spans="1:14" ht="22.95" customHeight="1">
      <c r="A51" s="1"/>
      <c r="B51" s="1"/>
      <c r="C51" s="1"/>
      <c r="D51" s="1"/>
      <c r="E51" s="1"/>
      <c r="F51" s="1"/>
      <c r="G51" s="1"/>
      <c r="H51" s="1"/>
      <c r="I51" s="1"/>
      <c r="J51" s="1"/>
      <c r="K51" s="1"/>
      <c r="L51" s="1"/>
      <c r="M51" s="1"/>
      <c r="N51" s="1"/>
    </row>
    <row r="52" spans="1:14" ht="22.95" customHeight="1">
      <c r="A52" s="1"/>
      <c r="B52" s="1"/>
      <c r="C52" s="1"/>
      <c r="D52" s="1"/>
      <c r="E52" s="1"/>
      <c r="F52" s="1"/>
      <c r="G52" s="1"/>
      <c r="H52" s="1"/>
      <c r="I52" s="1"/>
      <c r="J52" s="1"/>
      <c r="K52" s="1"/>
      <c r="L52" s="1"/>
      <c r="M52" s="1"/>
      <c r="N52" s="1"/>
    </row>
    <row r="53" spans="1:14" ht="22.95" customHeight="1">
      <c r="A53" s="1"/>
      <c r="B53" s="1"/>
      <c r="C53" s="1"/>
      <c r="D53" s="1"/>
      <c r="E53" s="1"/>
      <c r="F53" s="1"/>
      <c r="G53" s="1"/>
      <c r="H53" s="1"/>
      <c r="I53" s="1"/>
      <c r="J53" s="1"/>
      <c r="K53" s="1"/>
      <c r="L53" s="1"/>
      <c r="M53" s="1"/>
      <c r="N53" s="1"/>
    </row>
    <row r="54" spans="1:14" ht="22.95" customHeight="1">
      <c r="A54" s="1"/>
      <c r="B54" s="1"/>
      <c r="C54" s="1"/>
      <c r="D54" s="1"/>
      <c r="E54" s="1"/>
      <c r="F54" s="1"/>
      <c r="G54" s="1"/>
      <c r="H54" s="1"/>
      <c r="I54" s="1"/>
      <c r="J54" s="1"/>
      <c r="K54" s="1"/>
      <c r="L54" s="1"/>
      <c r="M54" s="1"/>
      <c r="N54" s="1"/>
    </row>
  </sheetData>
  <mergeCells count="5">
    <mergeCell ref="C5:N5"/>
    <mergeCell ref="C19:J19"/>
    <mergeCell ref="C38:J38"/>
    <mergeCell ref="C40:J40"/>
    <mergeCell ref="C42:J42"/>
  </mergeCells>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L84"/>
  <sheetViews>
    <sheetView showGridLines="0" workbookViewId="0">
      <pane ySplit="7" topLeftCell="A8" activePane="bottomLeft" state="frozen"/>
      <selection pane="bottomLeft"/>
    </sheetView>
  </sheetViews>
  <sheetFormatPr defaultRowHeight="13.8"/>
  <cols>
    <col min="1" max="2" width="2.19921875" customWidth="1"/>
    <col min="3" max="3" width="10" customWidth="1"/>
    <col min="4" max="4" width="23" customWidth="1"/>
    <col min="5" max="5" width="32" customWidth="1"/>
    <col min="6" max="6" width="45" customWidth="1"/>
    <col min="7" max="7" width="60" customWidth="1"/>
    <col min="8" max="8" width="48"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456</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t="s">
        <v>1</v>
      </c>
      <c r="D4" s="1"/>
      <c r="E4" s="1"/>
      <c r="F4" s="31" t="str">
        <f>'01_가정'!H4</f>
        <v>보수</v>
      </c>
      <c r="G4" s="1"/>
      <c r="H4" s="1"/>
      <c r="I4" s="1"/>
      <c r="J4" s="1"/>
      <c r="K4" s="1"/>
      <c r="L4" s="1"/>
    </row>
    <row r="5" spans="1:12" ht="22.95" customHeight="1">
      <c r="A5" s="1"/>
      <c r="B5" s="1"/>
      <c r="C5" s="1"/>
      <c r="D5" s="1"/>
      <c r="E5" s="1"/>
      <c r="F5" s="1"/>
      <c r="G5" s="1"/>
      <c r="H5" s="1"/>
      <c r="I5" s="1"/>
      <c r="J5" s="1"/>
      <c r="K5" s="1"/>
      <c r="L5" s="1"/>
    </row>
    <row r="6" spans="1:12" ht="22.95" customHeight="1">
      <c r="A6" s="1"/>
      <c r="B6" s="1"/>
      <c r="C6" s="1"/>
      <c r="D6" s="1"/>
      <c r="E6" s="1"/>
      <c r="F6" s="1"/>
      <c r="G6" s="1"/>
      <c r="H6" s="1"/>
      <c r="I6" s="1"/>
      <c r="J6" s="1"/>
      <c r="K6" s="1"/>
      <c r="L6" s="1"/>
    </row>
    <row r="7" spans="1:12" ht="30" customHeight="1">
      <c r="A7" s="1"/>
      <c r="B7" s="1"/>
      <c r="C7" s="7" t="s">
        <v>457</v>
      </c>
      <c r="D7" s="7" t="s">
        <v>458</v>
      </c>
      <c r="E7" s="7" t="s">
        <v>459</v>
      </c>
      <c r="F7" s="7" t="s">
        <v>460</v>
      </c>
      <c r="G7" s="7" t="s">
        <v>461</v>
      </c>
      <c r="H7" s="7" t="s">
        <v>462</v>
      </c>
      <c r="I7" s="1"/>
      <c r="J7" s="1"/>
      <c r="K7" s="1"/>
      <c r="L7" s="1"/>
    </row>
    <row r="8" spans="1:12" ht="67.95" customHeight="1">
      <c r="A8" s="1"/>
      <c r="B8" s="1"/>
      <c r="C8" s="6" t="s">
        <v>463</v>
      </c>
      <c r="D8" s="6" t="s">
        <v>464</v>
      </c>
      <c r="E8" s="6" t="s">
        <v>465</v>
      </c>
      <c r="F8" s="6" t="s">
        <v>466</v>
      </c>
      <c r="G8" s="6" t="s">
        <v>467</v>
      </c>
      <c r="H8" s="6" t="s">
        <v>468</v>
      </c>
      <c r="I8" s="1"/>
      <c r="J8" s="1"/>
      <c r="K8" s="1"/>
      <c r="L8" s="1"/>
    </row>
    <row r="9" spans="1:12" ht="67.95" customHeight="1">
      <c r="A9" s="1"/>
      <c r="B9" s="1"/>
      <c r="C9" s="6" t="s">
        <v>469</v>
      </c>
      <c r="D9" s="6" t="s">
        <v>470</v>
      </c>
      <c r="E9" s="6" t="s">
        <v>471</v>
      </c>
      <c r="F9" s="6" t="s">
        <v>472</v>
      </c>
      <c r="G9" s="6" t="s">
        <v>467</v>
      </c>
      <c r="H9" s="6" t="s">
        <v>473</v>
      </c>
      <c r="I9" s="1"/>
      <c r="J9" s="1"/>
      <c r="K9" s="1"/>
      <c r="L9" s="1"/>
    </row>
    <row r="10" spans="1:12" ht="67.95" customHeight="1">
      <c r="A10" s="1"/>
      <c r="B10" s="1"/>
      <c r="C10" s="6" t="s">
        <v>474</v>
      </c>
      <c r="D10" s="6" t="s">
        <v>475</v>
      </c>
      <c r="E10" s="6" t="s">
        <v>476</v>
      </c>
      <c r="F10" s="6" t="s">
        <v>477</v>
      </c>
      <c r="G10" s="6" t="s">
        <v>478</v>
      </c>
      <c r="H10" s="6" t="s">
        <v>479</v>
      </c>
      <c r="I10" s="1"/>
      <c r="J10" s="1"/>
      <c r="K10" s="1"/>
      <c r="L10" s="1"/>
    </row>
    <row r="11" spans="1:12" ht="67.95" customHeight="1">
      <c r="A11" s="1"/>
      <c r="B11" s="1"/>
      <c r="C11" s="6" t="s">
        <v>480</v>
      </c>
      <c r="D11" s="6" t="s">
        <v>481</v>
      </c>
      <c r="E11" s="6" t="s">
        <v>482</v>
      </c>
      <c r="F11" s="6" t="s">
        <v>483</v>
      </c>
      <c r="G11" s="6" t="s">
        <v>484</v>
      </c>
      <c r="H11" s="6" t="s">
        <v>485</v>
      </c>
      <c r="I11" s="1"/>
      <c r="J11" s="1"/>
      <c r="K11" s="1"/>
      <c r="L11" s="1"/>
    </row>
    <row r="12" spans="1:12" ht="67.95" customHeight="1">
      <c r="A12" s="1"/>
      <c r="B12" s="1"/>
      <c r="C12" s="6" t="s">
        <v>486</v>
      </c>
      <c r="D12" s="6" t="s">
        <v>487</v>
      </c>
      <c r="E12" s="6" t="s">
        <v>488</v>
      </c>
      <c r="F12" s="6" t="s">
        <v>489</v>
      </c>
      <c r="G12" s="6" t="s">
        <v>490</v>
      </c>
      <c r="H12" s="6" t="s">
        <v>491</v>
      </c>
      <c r="I12" s="1"/>
      <c r="J12" s="1"/>
      <c r="K12" s="1"/>
      <c r="L12" s="1"/>
    </row>
    <row r="13" spans="1:12" ht="67.95" customHeight="1">
      <c r="A13" s="1"/>
      <c r="B13" s="1"/>
      <c r="C13" s="6" t="s">
        <v>395</v>
      </c>
      <c r="D13" s="6" t="s">
        <v>492</v>
      </c>
      <c r="E13" s="6" t="s">
        <v>493</v>
      </c>
      <c r="F13" s="6" t="s">
        <v>494</v>
      </c>
      <c r="G13" s="6" t="s">
        <v>495</v>
      </c>
      <c r="H13" s="6" t="s">
        <v>496</v>
      </c>
      <c r="I13" s="1"/>
      <c r="J13" s="1"/>
      <c r="K13" s="1"/>
      <c r="L13" s="1"/>
    </row>
    <row r="14" spans="1:12" ht="67.95" customHeight="1">
      <c r="A14" s="1"/>
      <c r="B14" s="1"/>
      <c r="C14" s="6" t="s">
        <v>401</v>
      </c>
      <c r="D14" s="6" t="s">
        <v>492</v>
      </c>
      <c r="E14" s="6" t="s">
        <v>396</v>
      </c>
      <c r="F14" s="6" t="s">
        <v>497</v>
      </c>
      <c r="G14" s="6" t="s">
        <v>498</v>
      </c>
      <c r="H14" s="6" t="s">
        <v>499</v>
      </c>
      <c r="I14" s="1"/>
      <c r="J14" s="1"/>
      <c r="K14" s="1"/>
      <c r="L14" s="1"/>
    </row>
    <row r="15" spans="1:12" ht="67.95" customHeight="1">
      <c r="A15" s="1"/>
      <c r="B15" s="1"/>
      <c r="C15" s="6" t="s">
        <v>406</v>
      </c>
      <c r="D15" s="6" t="s">
        <v>492</v>
      </c>
      <c r="E15" s="6" t="s">
        <v>402</v>
      </c>
      <c r="F15" s="6" t="s">
        <v>500</v>
      </c>
      <c r="G15" s="6" t="s">
        <v>501</v>
      </c>
      <c r="H15" s="6" t="s">
        <v>502</v>
      </c>
      <c r="I15" s="1"/>
      <c r="J15" s="1"/>
      <c r="K15" s="1"/>
      <c r="L15" s="1"/>
    </row>
    <row r="16" spans="1:12" ht="67.95" customHeight="1">
      <c r="A16" s="1"/>
      <c r="B16" s="1"/>
      <c r="C16" s="6" t="s">
        <v>412</v>
      </c>
      <c r="D16" s="6" t="s">
        <v>503</v>
      </c>
      <c r="E16" s="6" t="s">
        <v>504</v>
      </c>
      <c r="F16" s="6" t="s">
        <v>505</v>
      </c>
      <c r="G16" s="6" t="s">
        <v>506</v>
      </c>
      <c r="H16" s="6" t="s">
        <v>507</v>
      </c>
      <c r="I16" s="1"/>
      <c r="J16" s="1"/>
      <c r="K16" s="1"/>
      <c r="L16" s="1"/>
    </row>
    <row r="17" spans="1:12" ht="67.95" customHeight="1">
      <c r="A17" s="1"/>
      <c r="B17" s="1"/>
      <c r="C17" s="6" t="s">
        <v>418</v>
      </c>
      <c r="D17" s="6" t="s">
        <v>492</v>
      </c>
      <c r="E17" s="6" t="s">
        <v>413</v>
      </c>
      <c r="F17" s="6" t="s">
        <v>508</v>
      </c>
      <c r="G17" s="6" t="s">
        <v>509</v>
      </c>
      <c r="H17" s="6" t="s">
        <v>510</v>
      </c>
      <c r="I17" s="1"/>
      <c r="J17" s="1"/>
      <c r="K17" s="1"/>
      <c r="L17" s="1"/>
    </row>
    <row r="18" spans="1:12" ht="67.95" customHeight="1">
      <c r="A18" s="1"/>
      <c r="B18" s="1"/>
      <c r="C18" s="6" t="s">
        <v>425</v>
      </c>
      <c r="D18" s="6" t="s">
        <v>511</v>
      </c>
      <c r="E18" s="6" t="s">
        <v>419</v>
      </c>
      <c r="F18" s="6" t="s">
        <v>512</v>
      </c>
      <c r="G18" s="6" t="s">
        <v>513</v>
      </c>
      <c r="H18" s="6" t="s">
        <v>514</v>
      </c>
      <c r="I18" s="1"/>
      <c r="J18" s="1"/>
      <c r="K18" s="1"/>
      <c r="L18" s="1"/>
    </row>
    <row r="19" spans="1:12" ht="67.95" customHeight="1">
      <c r="A19" s="1"/>
      <c r="B19" s="1"/>
      <c r="C19" s="6" t="s">
        <v>430</v>
      </c>
      <c r="D19" s="6" t="s">
        <v>511</v>
      </c>
      <c r="E19" s="6" t="s">
        <v>426</v>
      </c>
      <c r="F19" s="6" t="s">
        <v>515</v>
      </c>
      <c r="G19" s="6" t="s">
        <v>516</v>
      </c>
      <c r="H19" s="6" t="s">
        <v>517</v>
      </c>
      <c r="I19" s="1"/>
      <c r="J19" s="1"/>
      <c r="K19" s="1"/>
      <c r="L19" s="1"/>
    </row>
    <row r="20" spans="1:12" ht="67.95" customHeight="1">
      <c r="A20" s="1"/>
      <c r="B20" s="1"/>
      <c r="C20" s="6" t="s">
        <v>436</v>
      </c>
      <c r="D20" s="6" t="s">
        <v>518</v>
      </c>
      <c r="E20" s="6" t="s">
        <v>431</v>
      </c>
      <c r="F20" s="6" t="s">
        <v>519</v>
      </c>
      <c r="G20" s="6" t="s">
        <v>520</v>
      </c>
      <c r="H20" s="6" t="s">
        <v>521</v>
      </c>
      <c r="I20" s="1"/>
      <c r="J20" s="1"/>
      <c r="K20" s="1"/>
      <c r="L20" s="1"/>
    </row>
    <row r="21" spans="1:12" ht="67.95" customHeight="1">
      <c r="A21" s="1"/>
      <c r="B21" s="1"/>
      <c r="C21" s="6" t="s">
        <v>442</v>
      </c>
      <c r="D21" s="6" t="s">
        <v>511</v>
      </c>
      <c r="E21" s="6" t="s">
        <v>522</v>
      </c>
      <c r="F21" s="6" t="s">
        <v>523</v>
      </c>
      <c r="G21" s="6" t="s">
        <v>524</v>
      </c>
      <c r="H21" s="6" t="s">
        <v>525</v>
      </c>
      <c r="I21" s="1"/>
      <c r="J21" s="1"/>
      <c r="K21" s="1"/>
      <c r="L21" s="1"/>
    </row>
    <row r="22" spans="1:12" ht="67.95" customHeight="1">
      <c r="A22" s="1"/>
      <c r="B22" s="1"/>
      <c r="C22" s="6" t="s">
        <v>526</v>
      </c>
      <c r="D22" s="6" t="s">
        <v>527</v>
      </c>
      <c r="E22" s="6" t="s">
        <v>528</v>
      </c>
      <c r="F22" s="6" t="s">
        <v>529</v>
      </c>
      <c r="G22" s="6" t="s">
        <v>530</v>
      </c>
      <c r="H22" s="6" t="s">
        <v>531</v>
      </c>
      <c r="I22" s="1"/>
      <c r="J22" s="1"/>
      <c r="K22" s="1"/>
      <c r="L22" s="1"/>
    </row>
    <row r="23" spans="1:12" ht="67.95" customHeight="1">
      <c r="A23" s="1"/>
      <c r="B23" s="1"/>
      <c r="C23" s="6" t="s">
        <v>532</v>
      </c>
      <c r="D23" s="6" t="s">
        <v>533</v>
      </c>
      <c r="E23" s="6" t="s">
        <v>534</v>
      </c>
      <c r="F23" s="6" t="s">
        <v>535</v>
      </c>
      <c r="G23" s="6" t="s">
        <v>536</v>
      </c>
      <c r="H23" s="6" t="s">
        <v>537</v>
      </c>
      <c r="I23" s="1"/>
      <c r="J23" s="1"/>
      <c r="K23" s="1"/>
      <c r="L23" s="1"/>
    </row>
    <row r="24" spans="1:12" ht="67.95" customHeight="1">
      <c r="A24" s="1"/>
      <c r="B24" s="1"/>
      <c r="C24" s="6" t="s">
        <v>538</v>
      </c>
      <c r="D24" s="6" t="s">
        <v>533</v>
      </c>
      <c r="E24" s="6" t="s">
        <v>539</v>
      </c>
      <c r="F24" s="6" t="s">
        <v>540</v>
      </c>
      <c r="G24" s="6" t="s">
        <v>541</v>
      </c>
      <c r="H24" s="6" t="s">
        <v>542</v>
      </c>
      <c r="I24" s="1"/>
      <c r="J24" s="1"/>
      <c r="K24" s="1"/>
      <c r="L24" s="1"/>
    </row>
    <row r="25" spans="1:12" ht="67.95" customHeight="1">
      <c r="A25" s="1"/>
      <c r="B25" s="1"/>
      <c r="C25" s="6" t="s">
        <v>543</v>
      </c>
      <c r="D25" s="6" t="s">
        <v>544</v>
      </c>
      <c r="E25" s="6" t="s">
        <v>545</v>
      </c>
      <c r="F25" s="6" t="s">
        <v>546</v>
      </c>
      <c r="G25" s="6" t="s">
        <v>547</v>
      </c>
      <c r="H25" s="6" t="s">
        <v>548</v>
      </c>
      <c r="I25" s="1"/>
      <c r="J25" s="1"/>
      <c r="K25" s="1"/>
      <c r="L25" s="1"/>
    </row>
    <row r="26" spans="1:12" ht="67.95" customHeight="1">
      <c r="A26" s="1"/>
      <c r="B26" s="1"/>
      <c r="C26" s="6" t="s">
        <v>549</v>
      </c>
      <c r="D26" s="6" t="s">
        <v>550</v>
      </c>
      <c r="E26" s="6" t="s">
        <v>551</v>
      </c>
      <c r="F26" s="6" t="s">
        <v>552</v>
      </c>
      <c r="G26" s="6" t="s">
        <v>553</v>
      </c>
      <c r="H26" s="6" t="s">
        <v>554</v>
      </c>
      <c r="I26" s="1"/>
      <c r="J26" s="1"/>
      <c r="K26" s="1"/>
      <c r="L26" s="1"/>
    </row>
    <row r="27" spans="1:12" ht="67.95" customHeight="1">
      <c r="A27" s="1"/>
      <c r="B27" s="1"/>
      <c r="C27" s="6" t="s">
        <v>555</v>
      </c>
      <c r="D27" s="6" t="s">
        <v>556</v>
      </c>
      <c r="E27" s="6" t="s">
        <v>557</v>
      </c>
      <c r="F27" s="6" t="s">
        <v>558</v>
      </c>
      <c r="G27" s="6" t="s">
        <v>559</v>
      </c>
      <c r="H27" s="6" t="s">
        <v>560</v>
      </c>
      <c r="I27" s="1"/>
      <c r="J27" s="1"/>
      <c r="K27" s="1"/>
      <c r="L27" s="1"/>
    </row>
    <row r="28" spans="1:12" ht="67.95" customHeight="1">
      <c r="A28" s="1"/>
      <c r="B28" s="1"/>
      <c r="C28" s="6" t="s">
        <v>561</v>
      </c>
      <c r="D28" s="6" t="s">
        <v>562</v>
      </c>
      <c r="E28" s="6" t="s">
        <v>563</v>
      </c>
      <c r="F28" s="6" t="s">
        <v>564</v>
      </c>
      <c r="G28" s="6" t="s">
        <v>565</v>
      </c>
      <c r="H28" s="6" t="s">
        <v>566</v>
      </c>
      <c r="I28" s="1"/>
      <c r="J28" s="1"/>
      <c r="K28" s="1"/>
      <c r="L28" s="1"/>
    </row>
    <row r="29" spans="1:12" ht="67.95" customHeight="1">
      <c r="A29" s="1"/>
      <c r="B29" s="1"/>
      <c r="C29" s="6" t="s">
        <v>567</v>
      </c>
      <c r="D29" s="6" t="s">
        <v>568</v>
      </c>
      <c r="E29" s="6" t="s">
        <v>569</v>
      </c>
      <c r="F29" s="6" t="s">
        <v>570</v>
      </c>
      <c r="G29" s="6" t="s">
        <v>571</v>
      </c>
      <c r="H29" s="6" t="s">
        <v>572</v>
      </c>
      <c r="I29" s="1"/>
      <c r="J29" s="1"/>
      <c r="K29" s="1"/>
      <c r="L29" s="1"/>
    </row>
    <row r="30" spans="1:12" ht="67.95" customHeight="1">
      <c r="A30" s="1"/>
      <c r="B30" s="1"/>
      <c r="C30" s="6" t="s">
        <v>573</v>
      </c>
      <c r="D30" s="6" t="s">
        <v>574</v>
      </c>
      <c r="E30" s="6" t="s">
        <v>575</v>
      </c>
      <c r="F30" s="6" t="s">
        <v>576</v>
      </c>
      <c r="G30" s="6" t="s">
        <v>577</v>
      </c>
      <c r="H30" s="6" t="s">
        <v>578</v>
      </c>
      <c r="I30" s="1"/>
      <c r="J30" s="1"/>
      <c r="K30" s="1"/>
      <c r="L30" s="1"/>
    </row>
    <row r="31" spans="1:12" ht="22.95" customHeight="1">
      <c r="A31" s="1"/>
      <c r="B31" s="1"/>
      <c r="C31" s="1"/>
      <c r="D31" s="1"/>
      <c r="E31" s="1"/>
      <c r="F31" s="1"/>
      <c r="G31" s="1"/>
      <c r="H31" s="1"/>
      <c r="I31" s="1"/>
      <c r="J31" s="1"/>
      <c r="K31" s="1"/>
      <c r="L31" s="1"/>
    </row>
    <row r="32" spans="1:12" ht="22.95" customHeight="1">
      <c r="A32" s="1"/>
      <c r="B32" s="1"/>
      <c r="C32" s="1"/>
      <c r="D32" s="1"/>
      <c r="E32" s="1"/>
      <c r="F32" s="1"/>
      <c r="G32" s="1"/>
      <c r="H32" s="1"/>
      <c r="I32" s="1"/>
      <c r="J32" s="1"/>
      <c r="K32" s="1"/>
      <c r="L32" s="1"/>
    </row>
    <row r="33" spans="1:12" ht="22.95" customHeight="1">
      <c r="A33" s="1"/>
      <c r="B33" s="1"/>
      <c r="C33" s="1"/>
      <c r="D33" s="1"/>
      <c r="E33" s="1"/>
      <c r="F33" s="1"/>
      <c r="G33" s="1"/>
      <c r="H33" s="1"/>
      <c r="I33" s="1"/>
      <c r="J33" s="1"/>
      <c r="K33" s="1"/>
      <c r="L33" s="1"/>
    </row>
    <row r="34" spans="1:12" ht="22.95" customHeight="1">
      <c r="A34" s="1"/>
      <c r="B34" s="1"/>
      <c r="C34" s="8" t="s">
        <v>579</v>
      </c>
      <c r="D34" s="8"/>
      <c r="E34" s="8"/>
      <c r="F34" s="8"/>
      <c r="G34" s="8"/>
      <c r="H34" s="8"/>
      <c r="I34" s="1"/>
      <c r="J34" s="1"/>
      <c r="K34" s="1"/>
      <c r="L34" s="1"/>
    </row>
    <row r="35" spans="1:12" ht="22.95" customHeight="1">
      <c r="A35" s="1"/>
      <c r="B35" s="1"/>
      <c r="C35" s="1"/>
      <c r="D35" s="1"/>
      <c r="E35" s="1"/>
      <c r="F35" s="1"/>
      <c r="G35" s="1"/>
      <c r="H35" s="1"/>
      <c r="I35" s="1"/>
      <c r="J35" s="1"/>
      <c r="K35" s="1"/>
      <c r="L35" s="1"/>
    </row>
    <row r="36" spans="1:12" ht="30" customHeight="1">
      <c r="A36" s="1"/>
      <c r="B36" s="1"/>
      <c r="C36" s="38" t="s">
        <v>580</v>
      </c>
      <c r="D36" s="38"/>
      <c r="E36" s="7" t="s">
        <v>581</v>
      </c>
      <c r="F36" s="7" t="s">
        <v>582</v>
      </c>
      <c r="G36" s="38" t="s">
        <v>391</v>
      </c>
      <c r="H36" s="38"/>
      <c r="I36" s="1"/>
      <c r="J36" s="1"/>
      <c r="K36" s="1"/>
      <c r="L36" s="1"/>
    </row>
    <row r="37" spans="1:12" ht="49.95" customHeight="1">
      <c r="A37" s="1"/>
      <c r="B37" s="1"/>
      <c r="C37" s="35" t="s">
        <v>583</v>
      </c>
      <c r="D37" s="35"/>
      <c r="E37" s="6" t="s">
        <v>584</v>
      </c>
      <c r="F37" s="6" t="s">
        <v>585</v>
      </c>
      <c r="G37" s="35" t="s">
        <v>586</v>
      </c>
      <c r="H37" s="35"/>
      <c r="I37" s="1"/>
      <c r="J37" s="1"/>
      <c r="K37" s="1"/>
      <c r="L37" s="1"/>
    </row>
    <row r="38" spans="1:12" ht="49.95" customHeight="1">
      <c r="A38" s="1"/>
      <c r="B38" s="1"/>
      <c r="C38" s="35" t="s">
        <v>587</v>
      </c>
      <c r="D38" s="35"/>
      <c r="E38" s="6" t="s">
        <v>588</v>
      </c>
      <c r="F38" s="6" t="s">
        <v>589</v>
      </c>
      <c r="G38" s="35" t="s">
        <v>474</v>
      </c>
      <c r="H38" s="35"/>
      <c r="I38" s="1"/>
      <c r="J38" s="1"/>
      <c r="K38" s="1"/>
      <c r="L38" s="1"/>
    </row>
    <row r="39" spans="1:12" ht="49.95" customHeight="1">
      <c r="A39" s="1"/>
      <c r="B39" s="1"/>
      <c r="C39" s="35" t="s">
        <v>590</v>
      </c>
      <c r="D39" s="35"/>
      <c r="E39" s="6" t="s">
        <v>591</v>
      </c>
      <c r="F39" s="6" t="s">
        <v>592</v>
      </c>
      <c r="G39" s="35" t="s">
        <v>474</v>
      </c>
      <c r="H39" s="35"/>
      <c r="I39" s="1"/>
      <c r="J39" s="1"/>
      <c r="K39" s="1"/>
      <c r="L39" s="1"/>
    </row>
    <row r="40" spans="1:12" ht="49.95" customHeight="1">
      <c r="A40" s="1"/>
      <c r="B40" s="1"/>
      <c r="C40" s="35" t="s">
        <v>593</v>
      </c>
      <c r="D40" s="35"/>
      <c r="E40" s="6" t="s">
        <v>588</v>
      </c>
      <c r="F40" s="6" t="s">
        <v>594</v>
      </c>
      <c r="G40" s="35" t="s">
        <v>463</v>
      </c>
      <c r="H40" s="35"/>
      <c r="I40" s="1"/>
      <c r="J40" s="1"/>
      <c r="K40" s="1"/>
      <c r="L40" s="1"/>
    </row>
    <row r="41" spans="1:12" ht="49.95" customHeight="1">
      <c r="A41" s="1"/>
      <c r="B41" s="1"/>
      <c r="C41" s="35" t="s">
        <v>595</v>
      </c>
      <c r="D41" s="35"/>
      <c r="E41" s="6" t="s">
        <v>596</v>
      </c>
      <c r="F41" s="6" t="s">
        <v>597</v>
      </c>
      <c r="G41" s="35" t="s">
        <v>598</v>
      </c>
      <c r="H41" s="35"/>
      <c r="I41" s="1"/>
      <c r="J41" s="1"/>
      <c r="K41" s="1"/>
      <c r="L41" s="1"/>
    </row>
    <row r="42" spans="1:12" ht="49.95" customHeight="1">
      <c r="A42" s="1"/>
      <c r="B42" s="1"/>
      <c r="C42" s="35" t="s">
        <v>599</v>
      </c>
      <c r="D42" s="35"/>
      <c r="E42" s="6" t="s">
        <v>600</v>
      </c>
      <c r="F42" s="6" t="s">
        <v>601</v>
      </c>
      <c r="G42" s="35" t="s">
        <v>463</v>
      </c>
      <c r="H42" s="35"/>
      <c r="I42" s="1"/>
      <c r="J42" s="1"/>
      <c r="K42" s="1"/>
      <c r="L42" s="1"/>
    </row>
    <row r="43" spans="1:12" ht="49.95" customHeight="1">
      <c r="A43" s="1"/>
      <c r="B43" s="1"/>
      <c r="C43" s="35" t="s">
        <v>602</v>
      </c>
      <c r="D43" s="35"/>
      <c r="E43" s="6" t="s">
        <v>603</v>
      </c>
      <c r="F43" s="6" t="s">
        <v>604</v>
      </c>
      <c r="G43" s="35" t="s">
        <v>605</v>
      </c>
      <c r="H43" s="35"/>
      <c r="I43" s="1"/>
      <c r="J43" s="1"/>
      <c r="K43" s="1"/>
      <c r="L43" s="1"/>
    </row>
    <row r="44" spans="1:12" ht="49.95" customHeight="1">
      <c r="A44" s="1"/>
      <c r="B44" s="1"/>
      <c r="C44" s="35" t="s">
        <v>606</v>
      </c>
      <c r="D44" s="35"/>
      <c r="E44" s="6" t="s">
        <v>607</v>
      </c>
      <c r="F44" s="6" t="s">
        <v>608</v>
      </c>
      <c r="G44" s="35" t="s">
        <v>463</v>
      </c>
      <c r="H44" s="35"/>
      <c r="I44" s="1"/>
      <c r="J44" s="1"/>
      <c r="K44" s="1"/>
      <c r="L44" s="1"/>
    </row>
    <row r="45" spans="1:12" ht="49.95" customHeight="1">
      <c r="A45" s="1"/>
      <c r="B45" s="1"/>
      <c r="C45" s="35" t="s">
        <v>609</v>
      </c>
      <c r="D45" s="35"/>
      <c r="E45" s="6" t="s">
        <v>610</v>
      </c>
      <c r="F45" s="6" t="s">
        <v>611</v>
      </c>
      <c r="G45" s="35" t="s">
        <v>612</v>
      </c>
      <c r="H45" s="35"/>
      <c r="I45" s="1"/>
      <c r="J45" s="1"/>
      <c r="K45" s="1"/>
      <c r="L45" s="1"/>
    </row>
    <row r="46" spans="1:12" ht="49.95" customHeight="1">
      <c r="A46" s="1"/>
      <c r="B46" s="1"/>
      <c r="C46" s="35" t="s">
        <v>613</v>
      </c>
      <c r="D46" s="35"/>
      <c r="E46" s="6" t="s">
        <v>614</v>
      </c>
      <c r="F46" s="6" t="s">
        <v>615</v>
      </c>
      <c r="G46" s="35" t="s">
        <v>616</v>
      </c>
      <c r="H46" s="35"/>
      <c r="I46" s="1"/>
      <c r="J46" s="1"/>
      <c r="K46" s="1"/>
      <c r="L46" s="1"/>
    </row>
    <row r="47" spans="1:12" ht="22.95" customHeight="1">
      <c r="A47" s="1"/>
      <c r="B47" s="1"/>
      <c r="C47" s="1"/>
      <c r="D47" s="1"/>
      <c r="E47" s="1"/>
      <c r="F47" s="1"/>
      <c r="G47" s="1"/>
      <c r="H47" s="1"/>
      <c r="I47" s="1"/>
      <c r="J47" s="1"/>
      <c r="K47" s="1"/>
      <c r="L47" s="1"/>
    </row>
    <row r="48" spans="1:12" ht="22.95" customHeight="1">
      <c r="A48" s="1"/>
      <c r="B48" s="1"/>
      <c r="C48" s="1"/>
      <c r="D48" s="1"/>
      <c r="E48" s="1"/>
      <c r="F48" s="1"/>
      <c r="G48" s="1"/>
      <c r="H48" s="1"/>
      <c r="I48" s="1"/>
      <c r="J48" s="1"/>
      <c r="K48" s="1"/>
      <c r="L48" s="1"/>
    </row>
    <row r="49" spans="1:12" ht="22.95" customHeight="1">
      <c r="A49" s="1"/>
      <c r="B49" s="1"/>
      <c r="C49" s="8" t="s">
        <v>617</v>
      </c>
      <c r="D49" s="8"/>
      <c r="E49" s="8"/>
      <c r="F49" s="8"/>
      <c r="G49" s="8"/>
      <c r="H49" s="8"/>
      <c r="I49" s="1"/>
      <c r="J49" s="1"/>
      <c r="K49" s="1"/>
      <c r="L49" s="1"/>
    </row>
    <row r="50" spans="1:12" ht="22.95" customHeight="1">
      <c r="A50" s="1"/>
      <c r="B50" s="1"/>
      <c r="C50" s="1"/>
      <c r="D50" s="1"/>
      <c r="E50" s="1"/>
      <c r="F50" s="1"/>
      <c r="G50" s="1"/>
      <c r="H50" s="1"/>
      <c r="I50" s="1"/>
      <c r="J50" s="1"/>
      <c r="K50" s="1"/>
      <c r="L50" s="1"/>
    </row>
    <row r="51" spans="1:12" ht="30" customHeight="1">
      <c r="A51" s="1"/>
      <c r="B51" s="1"/>
      <c r="C51" s="38" t="s">
        <v>618</v>
      </c>
      <c r="D51" s="38"/>
      <c r="E51" s="7" t="s">
        <v>619</v>
      </c>
      <c r="F51" s="1"/>
      <c r="G51" s="1"/>
      <c r="H51" s="1"/>
      <c r="I51" s="1"/>
      <c r="J51" s="1"/>
      <c r="K51" s="1"/>
      <c r="L51" s="1"/>
    </row>
    <row r="52" spans="1:12" ht="22.95" customHeight="1">
      <c r="A52" s="1"/>
      <c r="B52" s="1"/>
      <c r="C52" s="39" t="s">
        <v>620</v>
      </c>
      <c r="D52" s="39"/>
      <c r="E52" s="25">
        <v>40000000</v>
      </c>
      <c r="F52" s="1"/>
      <c r="G52" s="1"/>
      <c r="H52" s="1"/>
      <c r="I52" s="1"/>
      <c r="J52" s="1"/>
      <c r="K52" s="1"/>
      <c r="L52" s="1"/>
    </row>
    <row r="53" spans="1:12" ht="22.95" customHeight="1">
      <c r="A53" s="1"/>
      <c r="B53" s="1"/>
      <c r="C53" s="39" t="s">
        <v>621</v>
      </c>
      <c r="D53" s="39"/>
      <c r="E53" s="25">
        <v>30000000</v>
      </c>
      <c r="F53" s="1"/>
      <c r="G53" s="1"/>
      <c r="H53" s="1"/>
      <c r="I53" s="1"/>
      <c r="J53" s="1"/>
      <c r="K53" s="1"/>
      <c r="L53" s="1"/>
    </row>
    <row r="54" spans="1:12" ht="22.95" customHeight="1">
      <c r="A54" s="1"/>
      <c r="B54" s="1"/>
      <c r="C54" s="39" t="s">
        <v>622</v>
      </c>
      <c r="D54" s="39"/>
      <c r="E54" s="25">
        <v>40000000</v>
      </c>
      <c r="F54" s="1"/>
      <c r="G54" s="1"/>
      <c r="H54" s="1"/>
      <c r="I54" s="1"/>
      <c r="J54" s="1"/>
      <c r="K54" s="1"/>
      <c r="L54" s="1"/>
    </row>
    <row r="55" spans="1:12" ht="22.95" customHeight="1">
      <c r="A55" s="1"/>
      <c r="B55" s="1"/>
      <c r="C55" s="39" t="s">
        <v>623</v>
      </c>
      <c r="D55" s="39"/>
      <c r="E55" s="25">
        <v>80000000</v>
      </c>
      <c r="F55" s="1"/>
      <c r="G55" s="1"/>
      <c r="H55" s="1"/>
      <c r="I55" s="1"/>
      <c r="J55" s="1"/>
      <c r="K55" s="1"/>
      <c r="L55" s="1"/>
    </row>
    <row r="56" spans="1:12" ht="22.95" customHeight="1">
      <c r="A56" s="1"/>
      <c r="B56" s="1"/>
      <c r="C56" s="39" t="s">
        <v>624</v>
      </c>
      <c r="D56" s="39"/>
      <c r="E56" s="25">
        <v>40000000</v>
      </c>
      <c r="F56" s="1"/>
      <c r="G56" s="1"/>
      <c r="H56" s="1"/>
      <c r="I56" s="1"/>
      <c r="J56" s="1"/>
      <c r="K56" s="1"/>
      <c r="L56" s="1"/>
    </row>
    <row r="57" spans="1:12" ht="22.95" customHeight="1">
      <c r="A57" s="1"/>
      <c r="B57" s="1"/>
      <c r="C57" s="39" t="s">
        <v>625</v>
      </c>
      <c r="D57" s="39"/>
      <c r="E57" s="25">
        <v>20000000</v>
      </c>
      <c r="F57" s="1"/>
      <c r="G57" s="1"/>
      <c r="H57" s="1"/>
      <c r="I57" s="1"/>
      <c r="J57" s="1"/>
      <c r="K57" s="1"/>
      <c r="L57" s="1"/>
    </row>
    <row r="58" spans="1:12" ht="22.95" customHeight="1">
      <c r="A58" s="1"/>
      <c r="B58" s="1"/>
      <c r="C58" s="39" t="s">
        <v>626</v>
      </c>
      <c r="D58" s="39"/>
      <c r="E58" s="25">
        <v>50000000</v>
      </c>
      <c r="F58" s="1"/>
      <c r="G58" s="1"/>
      <c r="H58" s="1"/>
      <c r="I58" s="1"/>
      <c r="J58" s="1"/>
      <c r="K58" s="1"/>
      <c r="L58" s="1"/>
    </row>
    <row r="59" spans="1:12" ht="22.95" customHeight="1">
      <c r="A59" s="1"/>
      <c r="B59" s="1"/>
      <c r="C59" s="39" t="s">
        <v>627</v>
      </c>
      <c r="D59" s="39"/>
      <c r="E59" s="19">
        <f>SUM(E52:E58)</f>
        <v>300000000</v>
      </c>
      <c r="F59" s="1"/>
      <c r="G59" s="1"/>
      <c r="H59" s="1"/>
      <c r="I59" s="1"/>
      <c r="J59" s="1"/>
      <c r="K59" s="1"/>
      <c r="L59" s="1"/>
    </row>
    <row r="60" spans="1:12" ht="22.95" customHeight="1">
      <c r="A60" s="1"/>
      <c r="B60" s="1"/>
      <c r="C60" s="1"/>
      <c r="D60" s="1"/>
      <c r="E60" s="1"/>
      <c r="F60" s="1"/>
      <c r="G60" s="1"/>
      <c r="H60" s="1"/>
      <c r="I60" s="1"/>
      <c r="J60" s="1"/>
      <c r="K60" s="1"/>
      <c r="L60" s="1"/>
    </row>
    <row r="61" spans="1:12" ht="22.95" customHeight="1">
      <c r="A61" s="1"/>
      <c r="B61" s="1"/>
      <c r="C61" s="1"/>
      <c r="D61" s="1"/>
      <c r="E61" s="1"/>
      <c r="F61" s="1"/>
      <c r="G61" s="1"/>
      <c r="H61" s="1"/>
      <c r="I61" s="1"/>
      <c r="J61" s="1"/>
      <c r="K61" s="1"/>
      <c r="L61" s="1"/>
    </row>
    <row r="62" spans="1:12" ht="36" customHeight="1">
      <c r="A62" s="1"/>
      <c r="B62" s="1"/>
      <c r="C62" s="35" t="s">
        <v>628</v>
      </c>
      <c r="D62" s="35"/>
      <c r="E62" s="35"/>
      <c r="F62" s="35"/>
      <c r="G62" s="35"/>
      <c r="H62" s="35"/>
      <c r="I62" s="1"/>
      <c r="J62" s="1"/>
      <c r="K62" s="1"/>
      <c r="L62" s="1"/>
    </row>
    <row r="63" spans="1:12" ht="22.95" customHeight="1">
      <c r="A63" s="1"/>
      <c r="B63" s="1"/>
      <c r="C63" s="1"/>
      <c r="D63" s="1"/>
      <c r="E63" s="1"/>
      <c r="F63" s="1"/>
      <c r="G63" s="1"/>
      <c r="H63" s="1"/>
      <c r="I63" s="1"/>
      <c r="J63" s="1"/>
      <c r="K63" s="1"/>
      <c r="L63" s="1"/>
    </row>
    <row r="64" spans="1:12" ht="22.95" customHeight="1">
      <c r="A64" s="1"/>
      <c r="B64" s="1"/>
      <c r="C64" s="1"/>
      <c r="D64" s="1"/>
      <c r="E64" s="1"/>
      <c r="F64" s="1"/>
      <c r="G64" s="1"/>
      <c r="H64" s="1"/>
      <c r="I64" s="1"/>
      <c r="J64" s="1"/>
      <c r="K64" s="1"/>
      <c r="L64" s="1"/>
    </row>
    <row r="65" spans="1:12" ht="22.95" customHeight="1">
      <c r="A65" s="1"/>
      <c r="B65" s="1"/>
      <c r="C65" s="1"/>
      <c r="D65" s="1"/>
      <c r="E65" s="1"/>
      <c r="F65" s="1"/>
      <c r="G65" s="1"/>
      <c r="H65" s="1"/>
      <c r="I65" s="1"/>
      <c r="J65" s="1"/>
      <c r="K65" s="1"/>
      <c r="L65" s="1"/>
    </row>
    <row r="66" spans="1:12" ht="22.95" customHeight="1">
      <c r="A66" s="1"/>
      <c r="B66" s="1"/>
      <c r="C66" s="1"/>
      <c r="D66" s="1"/>
      <c r="E66" s="1"/>
      <c r="F66" s="1"/>
      <c r="G66" s="1"/>
      <c r="H66" s="1"/>
      <c r="I66" s="1"/>
      <c r="J66" s="1"/>
      <c r="K66" s="1"/>
      <c r="L66" s="1"/>
    </row>
    <row r="67" spans="1:12" ht="22.95" customHeight="1">
      <c r="A67" s="1"/>
      <c r="B67" s="1"/>
      <c r="C67" s="1"/>
      <c r="D67" s="1"/>
      <c r="E67" s="1"/>
      <c r="F67" s="1"/>
      <c r="G67" s="1"/>
      <c r="H67" s="1"/>
      <c r="I67" s="1"/>
      <c r="J67" s="1"/>
      <c r="K67" s="1"/>
      <c r="L67" s="1"/>
    </row>
    <row r="68" spans="1:12" ht="22.95" customHeight="1">
      <c r="A68" s="1"/>
      <c r="B68" s="1"/>
      <c r="C68" s="1"/>
      <c r="D68" s="1"/>
      <c r="E68" s="1"/>
      <c r="F68" s="1"/>
      <c r="G68" s="1"/>
      <c r="H68" s="1"/>
      <c r="I68" s="1"/>
      <c r="J68" s="1"/>
      <c r="K68" s="1"/>
      <c r="L68" s="1"/>
    </row>
    <row r="69" spans="1:12" ht="22.95" customHeight="1">
      <c r="A69" s="1"/>
      <c r="B69" s="1"/>
      <c r="C69" s="1"/>
      <c r="D69" s="1"/>
      <c r="E69" s="1"/>
      <c r="F69" s="1"/>
      <c r="G69" s="1"/>
      <c r="H69" s="1"/>
      <c r="I69" s="1"/>
      <c r="J69" s="1"/>
      <c r="K69" s="1"/>
      <c r="L69" s="1"/>
    </row>
    <row r="70" spans="1:12" ht="22.95" customHeight="1">
      <c r="A70" s="1"/>
      <c r="B70" s="1"/>
      <c r="C70" s="1"/>
      <c r="D70" s="1"/>
      <c r="E70" s="1"/>
      <c r="F70" s="1"/>
      <c r="G70" s="1"/>
      <c r="H70" s="1"/>
      <c r="I70" s="1"/>
      <c r="J70" s="1"/>
      <c r="K70" s="1"/>
      <c r="L70" s="1"/>
    </row>
    <row r="71" spans="1:12" ht="22.95" customHeight="1">
      <c r="A71" s="1"/>
      <c r="B71" s="1"/>
      <c r="C71" s="1"/>
      <c r="D71" s="1"/>
      <c r="E71" s="1"/>
      <c r="F71" s="1"/>
      <c r="G71" s="1"/>
      <c r="H71" s="1"/>
      <c r="I71" s="1"/>
      <c r="J71" s="1"/>
      <c r="K71" s="1"/>
      <c r="L71" s="1"/>
    </row>
    <row r="72" spans="1:12" ht="22.95" customHeight="1">
      <c r="A72" s="1"/>
      <c r="B72" s="1"/>
      <c r="C72" s="1"/>
      <c r="D72" s="1"/>
      <c r="E72" s="1"/>
      <c r="F72" s="1"/>
      <c r="G72" s="1"/>
      <c r="H72" s="1"/>
      <c r="I72" s="1"/>
      <c r="J72" s="1"/>
      <c r="K72" s="1"/>
      <c r="L72" s="1"/>
    </row>
    <row r="73" spans="1:12" ht="22.95" customHeight="1">
      <c r="A73" s="1"/>
      <c r="B73" s="1"/>
      <c r="C73" s="1"/>
      <c r="D73" s="1"/>
      <c r="E73" s="1"/>
      <c r="F73" s="1"/>
      <c r="G73" s="1"/>
      <c r="H73" s="1"/>
      <c r="I73" s="1"/>
      <c r="J73" s="1"/>
      <c r="K73" s="1"/>
      <c r="L73" s="1"/>
    </row>
    <row r="74" spans="1:12" ht="22.95" customHeight="1">
      <c r="A74" s="1"/>
      <c r="B74" s="1"/>
      <c r="C74" s="1"/>
      <c r="D74" s="1"/>
      <c r="E74" s="1"/>
      <c r="F74" s="1"/>
      <c r="G74" s="1"/>
      <c r="H74" s="1"/>
      <c r="I74" s="1"/>
      <c r="J74" s="1"/>
      <c r="K74" s="1"/>
      <c r="L74" s="1"/>
    </row>
    <row r="75" spans="1:12" ht="22.95" customHeight="1">
      <c r="A75" s="1"/>
      <c r="B75" s="1"/>
      <c r="C75" s="1"/>
      <c r="D75" s="1"/>
      <c r="E75" s="1"/>
      <c r="F75" s="1"/>
      <c r="G75" s="1"/>
      <c r="H75" s="1"/>
      <c r="I75" s="1"/>
      <c r="J75" s="1"/>
      <c r="K75" s="1"/>
      <c r="L75" s="1"/>
    </row>
    <row r="76" spans="1:12" ht="22.95" customHeight="1">
      <c r="A76" s="1"/>
      <c r="B76" s="1"/>
      <c r="C76" s="1"/>
      <c r="D76" s="1"/>
      <c r="E76" s="1"/>
      <c r="F76" s="1"/>
      <c r="G76" s="1"/>
      <c r="H76" s="1"/>
      <c r="I76" s="1"/>
      <c r="J76" s="1"/>
      <c r="K76" s="1"/>
      <c r="L76" s="1"/>
    </row>
    <row r="77" spans="1:12" ht="22.95" customHeight="1">
      <c r="A77" s="1"/>
      <c r="B77" s="1"/>
      <c r="C77" s="1"/>
      <c r="D77" s="1"/>
      <c r="E77" s="1"/>
      <c r="F77" s="1"/>
      <c r="G77" s="1"/>
      <c r="H77" s="1"/>
      <c r="I77" s="1"/>
      <c r="J77" s="1"/>
      <c r="K77" s="1"/>
      <c r="L77" s="1"/>
    </row>
    <row r="78" spans="1:12" ht="22.95" customHeight="1">
      <c r="A78" s="1"/>
      <c r="B78" s="1"/>
      <c r="C78" s="1"/>
      <c r="D78" s="1"/>
      <c r="E78" s="1"/>
      <c r="F78" s="1"/>
      <c r="G78" s="1"/>
      <c r="H78" s="1"/>
      <c r="I78" s="1"/>
      <c r="J78" s="1"/>
      <c r="K78" s="1"/>
      <c r="L78" s="1"/>
    </row>
    <row r="79" spans="1:12" ht="22.95" customHeight="1">
      <c r="A79" s="1"/>
      <c r="B79" s="1"/>
      <c r="C79" s="1"/>
      <c r="D79" s="1"/>
      <c r="E79" s="1"/>
      <c r="F79" s="1"/>
      <c r="G79" s="1"/>
      <c r="H79" s="1"/>
      <c r="I79" s="1"/>
      <c r="J79" s="1"/>
      <c r="K79" s="1"/>
      <c r="L79" s="1"/>
    </row>
    <row r="80" spans="1:12" ht="22.95" customHeight="1">
      <c r="A80" s="1"/>
      <c r="B80" s="1"/>
      <c r="C80" s="1"/>
      <c r="D80" s="1"/>
      <c r="E80" s="1"/>
      <c r="F80" s="1"/>
      <c r="G80" s="1"/>
      <c r="H80" s="1"/>
      <c r="I80" s="1"/>
      <c r="J80" s="1"/>
      <c r="K80" s="1"/>
      <c r="L80" s="1"/>
    </row>
    <row r="81" spans="1:12" ht="22.95" customHeight="1">
      <c r="A81" s="1"/>
      <c r="B81" s="1"/>
      <c r="C81" s="1"/>
      <c r="D81" s="1"/>
      <c r="E81" s="1"/>
      <c r="F81" s="1"/>
      <c r="G81" s="1"/>
      <c r="H81" s="1"/>
      <c r="I81" s="1"/>
      <c r="J81" s="1"/>
      <c r="K81" s="1"/>
      <c r="L81" s="1"/>
    </row>
    <row r="82" spans="1:12" ht="22.95" customHeight="1">
      <c r="A82" s="1"/>
      <c r="B82" s="1"/>
      <c r="C82" s="1"/>
      <c r="D82" s="1"/>
      <c r="E82" s="1"/>
      <c r="F82" s="1"/>
      <c r="G82" s="1"/>
      <c r="H82" s="1"/>
      <c r="I82" s="1"/>
      <c r="J82" s="1"/>
      <c r="K82" s="1"/>
      <c r="L82" s="1"/>
    </row>
    <row r="83" spans="1:12" ht="22.95" customHeight="1">
      <c r="A83" s="1"/>
      <c r="B83" s="1"/>
      <c r="C83" s="1"/>
      <c r="D83" s="1"/>
      <c r="E83" s="1"/>
      <c r="F83" s="1"/>
      <c r="G83" s="1"/>
      <c r="H83" s="1"/>
      <c r="I83" s="1"/>
      <c r="J83" s="1"/>
      <c r="K83" s="1"/>
      <c r="L83" s="1"/>
    </row>
    <row r="84" spans="1:12" ht="22.95" customHeight="1">
      <c r="A84" s="1"/>
      <c r="B84" s="1"/>
      <c r="C84" s="1"/>
      <c r="D84" s="1"/>
      <c r="E84" s="1"/>
      <c r="F84" s="1"/>
      <c r="G84" s="1"/>
      <c r="H84" s="1"/>
      <c r="I84" s="1"/>
      <c r="J84" s="1"/>
      <c r="K84" s="1"/>
      <c r="L84" s="1"/>
    </row>
  </sheetData>
  <mergeCells count="32">
    <mergeCell ref="C57:D57"/>
    <mergeCell ref="C58:D58"/>
    <mergeCell ref="C59:D59"/>
    <mergeCell ref="C62:H62"/>
    <mergeCell ref="C52:D52"/>
    <mergeCell ref="C53:D53"/>
    <mergeCell ref="C54:D54"/>
    <mergeCell ref="C55:D55"/>
    <mergeCell ref="C56:D56"/>
    <mergeCell ref="C45:D45"/>
    <mergeCell ref="G45:H45"/>
    <mergeCell ref="C46:D46"/>
    <mergeCell ref="G46:H46"/>
    <mergeCell ref="C51:D51"/>
    <mergeCell ref="C42:D42"/>
    <mergeCell ref="G42:H42"/>
    <mergeCell ref="C43:D43"/>
    <mergeCell ref="G43:H43"/>
    <mergeCell ref="C44:D44"/>
    <mergeCell ref="G44:H44"/>
    <mergeCell ref="C39:D39"/>
    <mergeCell ref="G39:H39"/>
    <mergeCell ref="C40:D40"/>
    <mergeCell ref="G40:H40"/>
    <mergeCell ref="C41:D41"/>
    <mergeCell ref="G41:H41"/>
    <mergeCell ref="C36:D36"/>
    <mergeCell ref="G36:H36"/>
    <mergeCell ref="C37:D37"/>
    <mergeCell ref="G37:H37"/>
    <mergeCell ref="C38:D38"/>
    <mergeCell ref="G38:H38"/>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L49"/>
  <sheetViews>
    <sheetView showGridLines="0" workbookViewId="0">
      <pane ySplit="7" topLeftCell="A8" activePane="bottomLeft" state="frozen"/>
      <selection pane="bottomLeft"/>
    </sheetView>
  </sheetViews>
  <sheetFormatPr defaultRowHeight="13.8"/>
  <cols>
    <col min="1" max="2" width="2.19921875" customWidth="1"/>
    <col min="3" max="3" width="35" customWidth="1"/>
    <col min="4" max="4" width="12" customWidth="1"/>
    <col min="5" max="5" width="3" customWidth="1"/>
    <col min="6" max="6" width="17" customWidth="1"/>
    <col min="7" max="7" width="52" customWidth="1"/>
    <col min="8" max="8" width="17"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629</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t="s">
        <v>1</v>
      </c>
      <c r="D4" s="1"/>
      <c r="E4" s="1"/>
      <c r="F4" s="31" t="str">
        <f>'01_가정'!H4</f>
        <v>보수</v>
      </c>
      <c r="G4" s="1"/>
      <c r="H4" s="1"/>
      <c r="I4" s="1"/>
      <c r="J4" s="1"/>
      <c r="K4" s="1"/>
      <c r="L4" s="1"/>
    </row>
    <row r="5" spans="1:12" ht="36" customHeight="1">
      <c r="A5" s="1"/>
      <c r="B5" s="1"/>
      <c r="C5" s="35" t="s">
        <v>630</v>
      </c>
      <c r="D5" s="35"/>
      <c r="E5" s="35"/>
      <c r="F5" s="35"/>
      <c r="G5" s="35"/>
      <c r="H5" s="35"/>
      <c r="I5" s="35"/>
      <c r="J5" s="35"/>
      <c r="K5" s="35"/>
      <c r="L5" s="35"/>
    </row>
    <row r="6" spans="1:12" ht="22.95" customHeight="1">
      <c r="A6" s="1"/>
      <c r="B6" s="1"/>
      <c r="C6" s="1"/>
      <c r="D6" s="1"/>
      <c r="E6" s="1"/>
      <c r="F6" s="1"/>
      <c r="G6" s="1"/>
      <c r="H6" s="1"/>
      <c r="I6" s="1"/>
      <c r="J6" s="1"/>
      <c r="K6" s="1"/>
      <c r="L6" s="1"/>
    </row>
    <row r="7" spans="1:12" ht="30" customHeight="1">
      <c r="A7" s="1"/>
      <c r="B7" s="1"/>
      <c r="C7" s="7" t="s">
        <v>631</v>
      </c>
      <c r="D7" s="7" t="s">
        <v>4</v>
      </c>
      <c r="E7" s="7"/>
      <c r="F7" s="7" t="s">
        <v>632</v>
      </c>
      <c r="G7" s="7" t="s">
        <v>633</v>
      </c>
      <c r="H7" s="1"/>
      <c r="I7" s="1"/>
      <c r="J7" s="1"/>
      <c r="K7" s="1"/>
      <c r="L7" s="1"/>
    </row>
    <row r="8" spans="1:12" ht="22.95" customHeight="1">
      <c r="A8" s="1"/>
      <c r="B8" s="1"/>
      <c r="C8" s="1" t="s">
        <v>634</v>
      </c>
      <c r="D8" s="1" t="s">
        <v>11</v>
      </c>
      <c r="E8" s="1"/>
      <c r="F8" s="10"/>
      <c r="G8" s="1" t="s">
        <v>635</v>
      </c>
      <c r="H8" s="1"/>
      <c r="I8" s="1"/>
      <c r="J8" s="1"/>
      <c r="K8" s="1"/>
      <c r="L8" s="1"/>
    </row>
    <row r="9" spans="1:12" ht="22.95" customHeight="1">
      <c r="A9" s="1"/>
      <c r="B9" s="1"/>
      <c r="C9" s="1" t="s">
        <v>636</v>
      </c>
      <c r="D9" s="1" t="s">
        <v>63</v>
      </c>
      <c r="E9" s="1"/>
      <c r="F9" s="10"/>
      <c r="G9" s="1" t="s">
        <v>637</v>
      </c>
      <c r="H9" s="1"/>
      <c r="I9" s="1"/>
      <c r="J9" s="1"/>
      <c r="K9" s="1"/>
      <c r="L9" s="1"/>
    </row>
    <row r="10" spans="1:12" ht="22.95" customHeight="1">
      <c r="A10" s="1"/>
      <c r="B10" s="1"/>
      <c r="C10" s="1" t="s">
        <v>638</v>
      </c>
      <c r="D10" s="1" t="s">
        <v>63</v>
      </c>
      <c r="E10" s="1"/>
      <c r="F10" s="10"/>
      <c r="G10" s="1" t="s">
        <v>639</v>
      </c>
      <c r="H10" s="1"/>
      <c r="I10" s="1"/>
      <c r="J10" s="1"/>
      <c r="K10" s="1"/>
      <c r="L10" s="1"/>
    </row>
    <row r="11" spans="1:12" ht="22.95" customHeight="1">
      <c r="A11" s="1"/>
      <c r="B11" s="1"/>
      <c r="C11" s="1" t="s">
        <v>640</v>
      </c>
      <c r="D11" s="1" t="s">
        <v>63</v>
      </c>
      <c r="E11" s="1"/>
      <c r="F11" s="10"/>
      <c r="G11" s="1" t="s">
        <v>641</v>
      </c>
      <c r="H11" s="1"/>
      <c r="I11" s="1"/>
      <c r="J11" s="1"/>
      <c r="K11" s="1"/>
      <c r="L11" s="1"/>
    </row>
    <row r="12" spans="1:12" ht="22.95" customHeight="1">
      <c r="A12" s="1"/>
      <c r="B12" s="1"/>
      <c r="C12" s="1" t="s">
        <v>642</v>
      </c>
      <c r="D12" s="1" t="s">
        <v>63</v>
      </c>
      <c r="E12" s="1"/>
      <c r="F12" s="10"/>
      <c r="G12" s="1" t="s">
        <v>643</v>
      </c>
      <c r="H12" s="1"/>
      <c r="I12" s="1"/>
      <c r="J12" s="1"/>
      <c r="K12" s="1"/>
      <c r="L12" s="1"/>
    </row>
    <row r="13" spans="1:12" ht="22.95" customHeight="1">
      <c r="A13" s="1"/>
      <c r="B13" s="1"/>
      <c r="C13" s="1" t="s">
        <v>644</v>
      </c>
      <c r="D13" s="1" t="s">
        <v>63</v>
      </c>
      <c r="E13" s="1"/>
      <c r="F13" s="10"/>
      <c r="G13" s="1" t="s">
        <v>645</v>
      </c>
      <c r="H13" s="1"/>
      <c r="I13" s="1"/>
      <c r="J13" s="1"/>
      <c r="K13" s="1"/>
      <c r="L13" s="1"/>
    </row>
    <row r="14" spans="1:12" ht="22.95" customHeight="1">
      <c r="A14" s="1"/>
      <c r="B14" s="1"/>
      <c r="C14" s="1" t="s">
        <v>646</v>
      </c>
      <c r="D14" s="1" t="s">
        <v>63</v>
      </c>
      <c r="E14" s="1"/>
      <c r="F14" s="10"/>
      <c r="G14" s="1" t="s">
        <v>647</v>
      </c>
      <c r="H14" s="1"/>
      <c r="I14" s="1"/>
      <c r="J14" s="1"/>
      <c r="K14" s="1"/>
      <c r="L14" s="1"/>
    </row>
    <row r="15" spans="1:12" ht="22.95" customHeight="1">
      <c r="A15" s="1"/>
      <c r="B15" s="1"/>
      <c r="C15" s="1" t="s">
        <v>648</v>
      </c>
      <c r="D15" s="1" t="s">
        <v>63</v>
      </c>
      <c r="E15" s="1"/>
      <c r="F15" s="10"/>
      <c r="G15" s="1" t="s">
        <v>649</v>
      </c>
      <c r="H15" s="1"/>
      <c r="I15" s="1"/>
      <c r="J15" s="1"/>
      <c r="K15" s="1"/>
      <c r="L15" s="1"/>
    </row>
    <row r="16" spans="1:12" ht="22.95" customHeight="1">
      <c r="A16" s="1"/>
      <c r="B16" s="1"/>
      <c r="C16" s="1" t="s">
        <v>43</v>
      </c>
      <c r="D16" s="1" t="s">
        <v>11</v>
      </c>
      <c r="E16" s="1"/>
      <c r="F16" s="10"/>
      <c r="G16" s="1" t="s">
        <v>650</v>
      </c>
      <c r="H16" s="1"/>
      <c r="I16" s="1"/>
      <c r="J16" s="1"/>
      <c r="K16" s="1"/>
      <c r="L16" s="1"/>
    </row>
    <row r="17" spans="1:12" ht="22.95" customHeight="1">
      <c r="A17" s="1"/>
      <c r="B17" s="1"/>
      <c r="C17" s="1" t="s">
        <v>651</v>
      </c>
      <c r="D17" s="1" t="s">
        <v>11</v>
      </c>
      <c r="E17" s="1"/>
      <c r="F17" s="10"/>
      <c r="G17" s="1" t="s">
        <v>652</v>
      </c>
      <c r="H17" s="1"/>
      <c r="I17" s="1"/>
      <c r="J17" s="1"/>
      <c r="K17" s="1"/>
      <c r="L17" s="1"/>
    </row>
    <row r="18" spans="1:12" ht="22.95" customHeight="1">
      <c r="A18" s="1"/>
      <c r="B18" s="1"/>
      <c r="C18" s="1" t="s">
        <v>653</v>
      </c>
      <c r="D18" s="1" t="s">
        <v>63</v>
      </c>
      <c r="E18" s="1"/>
      <c r="F18" s="10"/>
      <c r="G18" s="1" t="s">
        <v>654</v>
      </c>
      <c r="H18" s="1"/>
      <c r="I18" s="1"/>
      <c r="J18" s="1"/>
      <c r="K18" s="1"/>
      <c r="L18" s="1"/>
    </row>
    <row r="19" spans="1:12" ht="22.95" customHeight="1">
      <c r="A19" s="1"/>
      <c r="B19" s="1"/>
      <c r="C19" s="1" t="s">
        <v>655</v>
      </c>
      <c r="D19" s="1" t="s">
        <v>63</v>
      </c>
      <c r="E19" s="1"/>
      <c r="F19" s="10"/>
      <c r="G19" s="1" t="s">
        <v>656</v>
      </c>
      <c r="H19" s="1"/>
      <c r="I19" s="1"/>
      <c r="J19" s="1"/>
      <c r="K19" s="1"/>
      <c r="L19" s="1"/>
    </row>
    <row r="20" spans="1:12" ht="22.95" customHeight="1">
      <c r="A20" s="1"/>
      <c r="B20" s="1"/>
      <c r="C20" s="1" t="s">
        <v>657</v>
      </c>
      <c r="D20" s="1" t="s">
        <v>658</v>
      </c>
      <c r="E20" s="1"/>
      <c r="F20" s="10"/>
      <c r="G20" s="1" t="s">
        <v>659</v>
      </c>
      <c r="H20" s="1"/>
      <c r="I20" s="1"/>
      <c r="J20" s="1"/>
      <c r="K20" s="1"/>
      <c r="L20" s="1"/>
    </row>
    <row r="21" spans="1:12" ht="22.95" customHeight="1">
      <c r="A21" s="1"/>
      <c r="B21" s="1"/>
      <c r="C21" s="1"/>
      <c r="D21" s="1"/>
      <c r="E21" s="1"/>
      <c r="F21" s="1"/>
      <c r="G21" s="1"/>
      <c r="H21" s="1"/>
      <c r="I21" s="1"/>
      <c r="J21" s="1"/>
      <c r="K21" s="1"/>
      <c r="L21" s="1"/>
    </row>
    <row r="22" spans="1:12" ht="22.95" customHeight="1">
      <c r="A22" s="1"/>
      <c r="B22" s="1"/>
      <c r="C22" s="1"/>
      <c r="D22" s="1"/>
      <c r="E22" s="1"/>
      <c r="F22" s="1"/>
      <c r="G22" s="1"/>
      <c r="H22" s="1"/>
      <c r="I22" s="1"/>
      <c r="J22" s="1"/>
      <c r="K22" s="1"/>
      <c r="L22" s="1"/>
    </row>
    <row r="23" spans="1:12" ht="22.95" customHeight="1">
      <c r="A23" s="1"/>
      <c r="B23" s="1"/>
      <c r="C23" s="1"/>
      <c r="D23" s="1"/>
      <c r="E23" s="1"/>
      <c r="F23" s="1"/>
      <c r="G23" s="1"/>
      <c r="H23" s="1"/>
      <c r="I23" s="1"/>
      <c r="J23" s="1"/>
      <c r="K23" s="1"/>
      <c r="L23" s="1"/>
    </row>
    <row r="24" spans="1:12" ht="22.95" customHeight="1">
      <c r="A24" s="1"/>
      <c r="B24" s="1"/>
      <c r="C24" s="1" t="s">
        <v>660</v>
      </c>
      <c r="D24" s="1" t="s">
        <v>11</v>
      </c>
      <c r="E24" s="1"/>
      <c r="F24" s="19" t="str">
        <f>IF(COUNT(F8,F12)&lt;2,"미관측",IF(F12=0,"출고 없음",F8/F12))</f>
        <v>미관측</v>
      </c>
      <c r="G24" s="1"/>
      <c r="H24" s="1"/>
      <c r="I24" s="1"/>
      <c r="J24" s="1"/>
      <c r="K24" s="1"/>
      <c r="L24" s="1"/>
    </row>
    <row r="25" spans="1:12" ht="22.95" customHeight="1">
      <c r="A25" s="1"/>
      <c r="B25" s="1"/>
      <c r="C25" s="1" t="s">
        <v>219</v>
      </c>
      <c r="D25" s="1" t="s">
        <v>54</v>
      </c>
      <c r="E25" s="1"/>
      <c r="F25" s="20" t="str">
        <f>IF(COUNT(F9,F12)&lt;2,"미관측",IF(F9=0,"유입 없음",F12/F9))</f>
        <v>미관측</v>
      </c>
      <c r="G25" s="1"/>
      <c r="H25" s="1"/>
      <c r="I25" s="1"/>
      <c r="J25" s="1"/>
      <c r="K25" s="1"/>
      <c r="L25" s="1"/>
    </row>
    <row r="26" spans="1:12" ht="22.95" customHeight="1">
      <c r="A26" s="1"/>
      <c r="B26" s="1"/>
      <c r="C26" s="1" t="s">
        <v>661</v>
      </c>
      <c r="D26" s="1" t="s">
        <v>54</v>
      </c>
      <c r="E26" s="1"/>
      <c r="F26" s="20" t="str">
        <f>IF(COUNT(F12,F13)&lt;2,"미관측",IF(F12=0,"출고 없음",F13/F12))</f>
        <v>미관측</v>
      </c>
      <c r="G26" s="1"/>
      <c r="H26" s="1"/>
      <c r="I26" s="1"/>
      <c r="J26" s="1"/>
      <c r="K26" s="1"/>
      <c r="L26" s="1"/>
    </row>
    <row r="27" spans="1:12" ht="22.95" customHeight="1">
      <c r="A27" s="1"/>
      <c r="B27" s="1"/>
      <c r="C27" s="1" t="s">
        <v>662</v>
      </c>
      <c r="D27" s="1" t="s">
        <v>54</v>
      </c>
      <c r="E27" s="1"/>
      <c r="F27" s="20" t="str">
        <f>IF(COUNT(F14,F15)&lt;2,"미관측",IF(F14=0,"적격자 없음",F15/F14))</f>
        <v>미관측</v>
      </c>
      <c r="G27" s="1"/>
      <c r="H27" s="1"/>
      <c r="I27" s="1"/>
      <c r="J27" s="1"/>
      <c r="K27" s="1"/>
      <c r="L27" s="1"/>
    </row>
    <row r="28" spans="1:12" ht="22.95" customHeight="1">
      <c r="A28" s="1"/>
      <c r="B28" s="1"/>
      <c r="C28" s="1" t="s">
        <v>663</v>
      </c>
      <c r="D28" s="1" t="s">
        <v>54</v>
      </c>
      <c r="E28" s="1"/>
      <c r="F28" s="20" t="str">
        <f>IF(COUNT(F18,F19)&lt;2,"미관측",IF(F18=0,"참여 없음",F19/F18))</f>
        <v>미관측</v>
      </c>
      <c r="G28" s="1"/>
      <c r="H28" s="1"/>
      <c r="I28" s="1"/>
      <c r="J28" s="1"/>
      <c r="K28" s="1"/>
      <c r="L28" s="1"/>
    </row>
    <row r="29" spans="1:12" ht="22.95" customHeight="1">
      <c r="A29" s="1"/>
      <c r="B29" s="1"/>
      <c r="C29" s="1" t="s">
        <v>664</v>
      </c>
      <c r="D29" s="1" t="s">
        <v>54</v>
      </c>
      <c r="E29" s="1"/>
      <c r="F29" s="20" t="str">
        <f>IF(COUNT(F10,F11)&lt;2,"미관측",IF(F10=0,"예약 없음",F11/F10))</f>
        <v>미관측</v>
      </c>
      <c r="G29" s="1"/>
      <c r="H29" s="1"/>
      <c r="I29" s="1"/>
      <c r="J29" s="1"/>
      <c r="K29" s="1"/>
      <c r="L29" s="1"/>
    </row>
    <row r="30" spans="1:12" ht="22.95" customHeight="1">
      <c r="A30" s="1"/>
      <c r="B30" s="1"/>
      <c r="C30" s="1"/>
      <c r="D30" s="1"/>
      <c r="E30" s="1"/>
      <c r="F30" s="1"/>
      <c r="G30" s="1"/>
      <c r="H30" s="1"/>
      <c r="I30" s="1"/>
      <c r="J30" s="1"/>
      <c r="K30" s="1"/>
      <c r="L30" s="1"/>
    </row>
    <row r="31" spans="1:12" ht="22.95" customHeight="1">
      <c r="A31" s="1"/>
      <c r="B31" s="1"/>
      <c r="C31" s="1" t="s">
        <v>665</v>
      </c>
      <c r="D31" s="1" t="s">
        <v>11</v>
      </c>
      <c r="E31" s="1"/>
      <c r="F31" s="17">
        <f>'02_단위경제'!F23</f>
        <v>-2007.6818181818235</v>
      </c>
      <c r="G31" s="1"/>
      <c r="H31" s="1"/>
      <c r="I31" s="1"/>
      <c r="J31" s="1"/>
      <c r="K31" s="1"/>
      <c r="L31" s="1"/>
    </row>
    <row r="32" spans="1:12" ht="34.950000000000003" customHeight="1">
      <c r="A32" s="1"/>
      <c r="B32" s="1"/>
      <c r="C32" s="1" t="s">
        <v>666</v>
      </c>
      <c r="D32" s="1" t="s">
        <v>667</v>
      </c>
      <c r="E32" s="1"/>
      <c r="F32" s="40" t="str">
        <f>IF(NOT(ISNUMBER(F24)),"실제 출고 관측 필요",IF(F24&lt;=F31,"경제성 추가 검토 가능","가격 원가 유입 개선 필요"))</f>
        <v>실제 출고 관측 필요</v>
      </c>
      <c r="G32" s="35"/>
      <c r="H32" s="1"/>
      <c r="I32" s="1"/>
      <c r="J32" s="1"/>
      <c r="K32" s="1"/>
      <c r="L32" s="1"/>
    </row>
    <row r="33" spans="1:12" ht="22.95" customHeight="1">
      <c r="A33" s="1"/>
      <c r="B33" s="1"/>
      <c r="C33" s="1"/>
      <c r="D33" s="1"/>
      <c r="E33" s="1"/>
      <c r="F33" s="1"/>
      <c r="G33" s="1"/>
      <c r="H33" s="1"/>
      <c r="I33" s="1"/>
      <c r="J33" s="1"/>
      <c r="K33" s="1"/>
      <c r="L33" s="1"/>
    </row>
    <row r="34" spans="1:12" ht="22.95" customHeight="1">
      <c r="A34" s="1"/>
      <c r="B34" s="1"/>
      <c r="C34" s="1"/>
      <c r="D34" s="1"/>
      <c r="E34" s="1"/>
      <c r="F34" s="1"/>
      <c r="G34" s="1"/>
      <c r="H34" s="1"/>
      <c r="I34" s="1"/>
      <c r="J34" s="1"/>
      <c r="K34" s="1"/>
      <c r="L34" s="1"/>
    </row>
    <row r="35" spans="1:12" ht="22.95" customHeight="1">
      <c r="A35" s="1"/>
      <c r="B35" s="1"/>
      <c r="C35" s="1"/>
      <c r="D35" s="1"/>
      <c r="E35" s="1"/>
      <c r="F35" s="1"/>
      <c r="G35" s="1"/>
      <c r="H35" s="1"/>
      <c r="I35" s="1"/>
      <c r="J35" s="1"/>
      <c r="K35" s="1"/>
      <c r="L35" s="1"/>
    </row>
    <row r="36" spans="1:12" ht="36" customHeight="1">
      <c r="A36" s="1"/>
      <c r="B36" s="1"/>
      <c r="C36" s="35" t="s">
        <v>668</v>
      </c>
      <c r="D36" s="35"/>
      <c r="E36" s="35"/>
      <c r="F36" s="35"/>
      <c r="G36" s="35"/>
      <c r="H36" s="35"/>
      <c r="I36" s="35"/>
      <c r="J36" s="35"/>
      <c r="K36" s="35"/>
      <c r="L36" s="35"/>
    </row>
    <row r="37" spans="1:12" ht="22.95" customHeight="1">
      <c r="A37" s="1"/>
      <c r="B37" s="1"/>
      <c r="C37" s="1"/>
      <c r="D37" s="1"/>
      <c r="E37" s="1"/>
      <c r="F37" s="1"/>
      <c r="G37" s="1"/>
      <c r="H37" s="1"/>
      <c r="I37" s="1"/>
      <c r="J37" s="1"/>
      <c r="K37" s="1"/>
      <c r="L37" s="1"/>
    </row>
    <row r="38" spans="1:12" ht="36" customHeight="1">
      <c r="A38" s="1"/>
      <c r="B38" s="1"/>
      <c r="C38" s="35" t="s">
        <v>669</v>
      </c>
      <c r="D38" s="35"/>
      <c r="E38" s="35"/>
      <c r="F38" s="35"/>
      <c r="G38" s="35"/>
      <c r="H38" s="35"/>
      <c r="I38" s="35"/>
      <c r="J38" s="35"/>
      <c r="K38" s="35"/>
      <c r="L38" s="35"/>
    </row>
    <row r="39" spans="1:12" ht="22.95" customHeight="1">
      <c r="A39" s="1"/>
      <c r="B39" s="1"/>
      <c r="C39" s="1"/>
      <c r="D39" s="1"/>
      <c r="E39" s="1"/>
      <c r="F39" s="1"/>
      <c r="G39" s="1"/>
      <c r="H39" s="1"/>
      <c r="I39" s="1"/>
      <c r="J39" s="1"/>
      <c r="K39" s="1"/>
      <c r="L39" s="1"/>
    </row>
    <row r="40" spans="1:12" ht="22.95" customHeight="1">
      <c r="A40" s="1"/>
      <c r="B40" s="1"/>
      <c r="C40" s="1"/>
      <c r="D40" s="1"/>
      <c r="E40" s="1"/>
      <c r="F40" s="1"/>
      <c r="G40" s="1"/>
      <c r="H40" s="1"/>
      <c r="I40" s="1"/>
      <c r="J40" s="1"/>
      <c r="K40" s="1"/>
      <c r="L40" s="1"/>
    </row>
    <row r="41" spans="1:12" ht="22.95" customHeight="1">
      <c r="A41" s="1"/>
      <c r="B41" s="1"/>
      <c r="C41" s="1"/>
      <c r="D41" s="1"/>
      <c r="E41" s="1"/>
      <c r="F41" s="1"/>
      <c r="G41" s="1"/>
      <c r="H41" s="1"/>
      <c r="I41" s="1"/>
      <c r="J41" s="1"/>
      <c r="K41" s="1"/>
      <c r="L41" s="1"/>
    </row>
    <row r="42" spans="1:12" ht="22.95" customHeight="1">
      <c r="A42" s="1"/>
      <c r="B42" s="1"/>
      <c r="C42" s="1"/>
      <c r="D42" s="1"/>
      <c r="E42" s="1"/>
      <c r="F42" s="1"/>
      <c r="G42" s="1"/>
      <c r="H42" s="1"/>
      <c r="I42" s="1"/>
      <c r="J42" s="1"/>
      <c r="K42" s="1"/>
      <c r="L42" s="1"/>
    </row>
    <row r="43" spans="1:12" ht="22.95" customHeight="1">
      <c r="A43" s="1"/>
      <c r="B43" s="1"/>
      <c r="C43" s="1"/>
      <c r="D43" s="1"/>
      <c r="E43" s="1"/>
      <c r="F43" s="1"/>
      <c r="G43" s="1"/>
      <c r="H43" s="1"/>
      <c r="I43" s="1"/>
      <c r="J43" s="1"/>
      <c r="K43" s="1"/>
      <c r="L43" s="1"/>
    </row>
    <row r="44" spans="1:12" ht="22.95" customHeight="1">
      <c r="A44" s="1"/>
      <c r="B44" s="1"/>
      <c r="C44" s="1"/>
      <c r="D44" s="1"/>
      <c r="E44" s="1"/>
      <c r="F44" s="1"/>
      <c r="G44" s="1"/>
      <c r="H44" s="1"/>
      <c r="I44" s="1"/>
      <c r="J44" s="1"/>
      <c r="K44" s="1"/>
      <c r="L44" s="1"/>
    </row>
    <row r="45" spans="1:12" ht="22.95" customHeight="1">
      <c r="A45" s="1"/>
      <c r="B45" s="1"/>
      <c r="C45" s="1"/>
      <c r="D45" s="1"/>
      <c r="E45" s="1"/>
      <c r="F45" s="1"/>
      <c r="G45" s="1"/>
      <c r="H45" s="1"/>
      <c r="I45" s="1"/>
      <c r="J45" s="1"/>
      <c r="K45" s="1"/>
      <c r="L45" s="1"/>
    </row>
    <row r="46" spans="1:12" ht="22.95" customHeight="1">
      <c r="A46" s="1"/>
      <c r="B46" s="1"/>
      <c r="C46" s="1"/>
      <c r="D46" s="1"/>
      <c r="E46" s="1"/>
      <c r="F46" s="1"/>
      <c r="G46" s="1"/>
      <c r="H46" s="1"/>
      <c r="I46" s="1"/>
      <c r="J46" s="1"/>
      <c r="K46" s="1"/>
      <c r="L46" s="1"/>
    </row>
    <row r="47" spans="1:12" ht="22.95" customHeight="1">
      <c r="A47" s="1"/>
      <c r="B47" s="1"/>
      <c r="C47" s="1"/>
      <c r="D47" s="1"/>
      <c r="E47" s="1"/>
      <c r="F47" s="1"/>
      <c r="G47" s="1"/>
      <c r="H47" s="1"/>
      <c r="I47" s="1"/>
      <c r="J47" s="1"/>
      <c r="K47" s="1"/>
      <c r="L47" s="1"/>
    </row>
    <row r="48" spans="1:12" ht="22.95" customHeight="1">
      <c r="A48" s="1"/>
      <c r="B48" s="1"/>
      <c r="C48" s="1"/>
      <c r="D48" s="1"/>
      <c r="E48" s="1"/>
      <c r="F48" s="1"/>
      <c r="G48" s="1"/>
      <c r="H48" s="1"/>
      <c r="I48" s="1"/>
      <c r="J48" s="1"/>
      <c r="K48" s="1"/>
      <c r="L48" s="1"/>
    </row>
    <row r="49" spans="1:12" ht="22.95" customHeight="1">
      <c r="A49" s="1"/>
      <c r="B49" s="1"/>
      <c r="C49" s="1"/>
      <c r="D49" s="1"/>
      <c r="E49" s="1"/>
      <c r="F49" s="1"/>
      <c r="G49" s="1"/>
      <c r="H49" s="1"/>
      <c r="I49" s="1"/>
      <c r="J49" s="1"/>
      <c r="K49" s="1"/>
      <c r="L49" s="1"/>
    </row>
  </sheetData>
  <mergeCells count="4">
    <mergeCell ref="C5:L5"/>
    <mergeCell ref="F32:G32"/>
    <mergeCell ref="C36:L36"/>
    <mergeCell ref="C38:L38"/>
  </mergeCells>
  <phoneticPr fontId="2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AS35"/>
  <sheetViews>
    <sheetView showGridLines="0" workbookViewId="0"/>
  </sheetViews>
  <sheetFormatPr defaultRowHeight="13.8"/>
  <cols>
    <col min="1" max="2" width="2.19921875" customWidth="1"/>
    <col min="3" max="3" width="35" customWidth="1"/>
    <col min="4" max="4" width="12" customWidth="1"/>
    <col min="5" max="5" width="3" customWidth="1"/>
    <col min="6" max="8" width="17" customWidth="1"/>
    <col min="9" max="9" width="3" customWidth="1"/>
    <col min="10" max="45" width="14" customWidth="1"/>
  </cols>
  <sheetData>
    <row r="1" spans="1:45" ht="22.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34.950000000000003" customHeight="1">
      <c r="A2" s="1"/>
      <c r="B2" s="1"/>
      <c r="C2" s="2" t="s">
        <v>670</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22.9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22.95" customHeight="1">
      <c r="A4" s="1"/>
      <c r="B4" s="1"/>
      <c r="C4" s="1" t="s">
        <v>1</v>
      </c>
      <c r="D4" s="1"/>
      <c r="E4" s="1"/>
      <c r="F4" s="31" t="str">
        <f>'01_가정'!H4</f>
        <v>보수</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22.9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ht="30" customHeight="1">
      <c r="A6" s="1"/>
      <c r="B6" s="1"/>
      <c r="C6" s="7" t="s">
        <v>295</v>
      </c>
      <c r="D6" s="7" t="s">
        <v>4</v>
      </c>
      <c r="E6" s="7"/>
      <c r="F6" s="7" t="s">
        <v>671</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ht="22.9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22.95" customHeight="1">
      <c r="A8" s="1"/>
      <c r="B8" s="1"/>
      <c r="C8" s="1" t="s">
        <v>672</v>
      </c>
      <c r="D8" s="1"/>
      <c r="E8" s="1"/>
      <c r="F8" s="22">
        <f t="shared" ref="F8:F14" si="0">MAX(MAX(J8:AS8),-MIN(J8:AS8))</f>
        <v>0</v>
      </c>
      <c r="G8" s="4" t="str">
        <f t="shared" ref="G8:G14" si="1">IF(F8&lt;0.01,"정상","확인 필요")</f>
        <v>정상</v>
      </c>
      <c r="H8" s="1"/>
      <c r="I8" s="1"/>
      <c r="J8" s="15">
        <f>'04_재고현금'!J9+'04_재고현금'!J10-'04_재고현금'!J8-'04_재고현금'!J11</f>
        <v>0</v>
      </c>
      <c r="K8" s="15">
        <f>'04_재고현금'!K9+'04_재고현금'!K10-'04_재고현금'!K8-'04_재고현금'!K11</f>
        <v>0</v>
      </c>
      <c r="L8" s="15">
        <f>'04_재고현금'!L9+'04_재고현금'!L10-'04_재고현금'!L8-'04_재고현금'!L11</f>
        <v>0</v>
      </c>
      <c r="M8" s="15">
        <f>'04_재고현금'!M9+'04_재고현금'!M10-'04_재고현금'!M8-'04_재고현금'!M11</f>
        <v>0</v>
      </c>
      <c r="N8" s="15">
        <f>'04_재고현금'!N9+'04_재고현금'!N10-'04_재고현금'!N8-'04_재고현금'!N11</f>
        <v>0</v>
      </c>
      <c r="O8" s="15">
        <f>'04_재고현금'!O9+'04_재고현금'!O10-'04_재고현금'!O8-'04_재고현금'!O11</f>
        <v>0</v>
      </c>
      <c r="P8" s="15">
        <f>'04_재고현금'!P9+'04_재고현금'!P10-'04_재고현금'!P8-'04_재고현금'!P11</f>
        <v>0</v>
      </c>
      <c r="Q8" s="15">
        <f>'04_재고현금'!Q9+'04_재고현금'!Q10-'04_재고현금'!Q8-'04_재고현금'!Q11</f>
        <v>0</v>
      </c>
      <c r="R8" s="15">
        <f>'04_재고현금'!R9+'04_재고현금'!R10-'04_재고현금'!R8-'04_재고현금'!R11</f>
        <v>0</v>
      </c>
      <c r="S8" s="15">
        <f>'04_재고현금'!S9+'04_재고현금'!S10-'04_재고현금'!S8-'04_재고현금'!S11</f>
        <v>0</v>
      </c>
      <c r="T8" s="15">
        <f>'04_재고현금'!T9+'04_재고현금'!T10-'04_재고현금'!T8-'04_재고현금'!T11</f>
        <v>0</v>
      </c>
      <c r="U8" s="15">
        <f>'04_재고현금'!U9+'04_재고현금'!U10-'04_재고현금'!U8-'04_재고현금'!U11</f>
        <v>0</v>
      </c>
      <c r="V8" s="15">
        <f>'04_재고현금'!V9+'04_재고현금'!V10-'04_재고현금'!V8-'04_재고현금'!V11</f>
        <v>0</v>
      </c>
      <c r="W8" s="15">
        <f>'04_재고현금'!W9+'04_재고현금'!W10-'04_재고현금'!W8-'04_재고현금'!W11</f>
        <v>0</v>
      </c>
      <c r="X8" s="15">
        <f>'04_재고현금'!X9+'04_재고현금'!X10-'04_재고현금'!X8-'04_재고현금'!X11</f>
        <v>0</v>
      </c>
      <c r="Y8" s="15">
        <f>'04_재고현금'!Y9+'04_재고현금'!Y10-'04_재고현금'!Y8-'04_재고현금'!Y11</f>
        <v>0</v>
      </c>
      <c r="Z8" s="15">
        <f>'04_재고현금'!Z9+'04_재고현금'!Z10-'04_재고현금'!Z8-'04_재고현금'!Z11</f>
        <v>0</v>
      </c>
      <c r="AA8" s="15">
        <f>'04_재고현금'!AA9+'04_재고현금'!AA10-'04_재고현금'!AA8-'04_재고현금'!AA11</f>
        <v>0</v>
      </c>
      <c r="AB8" s="15">
        <f>'04_재고현금'!AB9+'04_재고현금'!AB10-'04_재고현금'!AB8-'04_재고현금'!AB11</f>
        <v>0</v>
      </c>
      <c r="AC8" s="15">
        <f>'04_재고현금'!AC9+'04_재고현금'!AC10-'04_재고현금'!AC8-'04_재고현금'!AC11</f>
        <v>0</v>
      </c>
      <c r="AD8" s="15">
        <f>'04_재고현금'!AD9+'04_재고현금'!AD10-'04_재고현금'!AD8-'04_재고현금'!AD11</f>
        <v>0</v>
      </c>
      <c r="AE8" s="15">
        <f>'04_재고현금'!AE9+'04_재고현금'!AE10-'04_재고현금'!AE8-'04_재고현금'!AE11</f>
        <v>0</v>
      </c>
      <c r="AF8" s="15">
        <f>'04_재고현금'!AF9+'04_재고현금'!AF10-'04_재고현금'!AF8-'04_재고현금'!AF11</f>
        <v>0</v>
      </c>
      <c r="AG8" s="15">
        <f>'04_재고현금'!AG9+'04_재고현금'!AG10-'04_재고현금'!AG8-'04_재고현금'!AG11</f>
        <v>0</v>
      </c>
      <c r="AH8" s="15">
        <f>'04_재고현금'!AH9+'04_재고현금'!AH10-'04_재고현금'!AH8-'04_재고현금'!AH11</f>
        <v>0</v>
      </c>
      <c r="AI8" s="15">
        <f>'04_재고현금'!AI9+'04_재고현금'!AI10-'04_재고현금'!AI8-'04_재고현금'!AI11</f>
        <v>0</v>
      </c>
      <c r="AJ8" s="15">
        <f>'04_재고현금'!AJ9+'04_재고현금'!AJ10-'04_재고현금'!AJ8-'04_재고현금'!AJ11</f>
        <v>0</v>
      </c>
      <c r="AK8" s="15">
        <f>'04_재고현금'!AK9+'04_재고현금'!AK10-'04_재고현금'!AK8-'04_재고현금'!AK11</f>
        <v>0</v>
      </c>
      <c r="AL8" s="15">
        <f>'04_재고현금'!AL9+'04_재고현금'!AL10-'04_재고현금'!AL8-'04_재고현금'!AL11</f>
        <v>0</v>
      </c>
      <c r="AM8" s="15">
        <f>'04_재고현금'!AM9+'04_재고현금'!AM10-'04_재고현금'!AM8-'04_재고현금'!AM11</f>
        <v>0</v>
      </c>
      <c r="AN8" s="15">
        <f>'04_재고현금'!AN9+'04_재고현금'!AN10-'04_재고현금'!AN8-'04_재고현금'!AN11</f>
        <v>0</v>
      </c>
      <c r="AO8" s="15">
        <f>'04_재고현금'!AO9+'04_재고현금'!AO10-'04_재고현금'!AO8-'04_재고현금'!AO11</f>
        <v>0</v>
      </c>
      <c r="AP8" s="15">
        <f>'04_재고현금'!AP9+'04_재고현금'!AP10-'04_재고현금'!AP8-'04_재고현금'!AP11</f>
        <v>0</v>
      </c>
      <c r="AQ8" s="15">
        <f>'04_재고현금'!AQ9+'04_재고현금'!AQ10-'04_재고현금'!AQ8-'04_재고현금'!AQ11</f>
        <v>0</v>
      </c>
      <c r="AR8" s="15">
        <f>'04_재고현금'!AR9+'04_재고현금'!AR10-'04_재고현금'!AR8-'04_재고현금'!AR11</f>
        <v>0</v>
      </c>
      <c r="AS8" s="15">
        <f>'04_재고현금'!AS9+'04_재고현금'!AS10-'04_재고현금'!AS8-'04_재고현금'!AS11</f>
        <v>0</v>
      </c>
    </row>
    <row r="9" spans="1:45" ht="22.95" customHeight="1">
      <c r="A9" s="1"/>
      <c r="B9" s="1"/>
      <c r="C9" s="1" t="s">
        <v>673</v>
      </c>
      <c r="D9" s="1"/>
      <c r="E9" s="1"/>
      <c r="F9" s="22">
        <f t="shared" si="0"/>
        <v>0</v>
      </c>
      <c r="G9" s="4" t="str">
        <f t="shared" si="1"/>
        <v>정상</v>
      </c>
      <c r="H9" s="1"/>
      <c r="I9" s="1"/>
      <c r="J9" s="15">
        <f>'04_재고현금'!J14+'04_재고현금'!J13-'04_재고현금'!J16-'04_재고현금'!J17</f>
        <v>0</v>
      </c>
      <c r="K9" s="15">
        <f>'04_재고현금'!K14+'04_재고현금'!K13-'04_재고현금'!K16-'04_재고현금'!K17</f>
        <v>0</v>
      </c>
      <c r="L9" s="15">
        <f>'04_재고현금'!L14+'04_재고현금'!L13-'04_재고현금'!L16-'04_재고현금'!L17</f>
        <v>0</v>
      </c>
      <c r="M9" s="15">
        <f>'04_재고현금'!M14+'04_재고현금'!M13-'04_재고현금'!M16-'04_재고현금'!M17</f>
        <v>0</v>
      </c>
      <c r="N9" s="15">
        <f>'04_재고현금'!N14+'04_재고현금'!N13-'04_재고현금'!N16-'04_재고현금'!N17</f>
        <v>0</v>
      </c>
      <c r="O9" s="15">
        <f>'04_재고현금'!O14+'04_재고현금'!O13-'04_재고현금'!O16-'04_재고현금'!O17</f>
        <v>0</v>
      </c>
      <c r="P9" s="15">
        <f>'04_재고현금'!P14+'04_재고현금'!P13-'04_재고현금'!P16-'04_재고현금'!P17</f>
        <v>0</v>
      </c>
      <c r="Q9" s="15">
        <f>'04_재고현금'!Q14+'04_재고현금'!Q13-'04_재고현금'!Q16-'04_재고현금'!Q17</f>
        <v>0</v>
      </c>
      <c r="R9" s="15">
        <f>'04_재고현금'!R14+'04_재고현금'!R13-'04_재고현금'!R16-'04_재고현금'!R17</f>
        <v>0</v>
      </c>
      <c r="S9" s="15">
        <f>'04_재고현금'!S14+'04_재고현금'!S13-'04_재고현금'!S16-'04_재고현금'!S17</f>
        <v>0</v>
      </c>
      <c r="T9" s="15">
        <f>'04_재고현금'!T14+'04_재고현금'!T13-'04_재고현금'!T16-'04_재고현금'!T17</f>
        <v>0</v>
      </c>
      <c r="U9" s="15">
        <f>'04_재고현금'!U14+'04_재고현금'!U13-'04_재고현금'!U16-'04_재고현금'!U17</f>
        <v>0</v>
      </c>
      <c r="V9" s="15">
        <f>'04_재고현금'!V14+'04_재고현금'!V13-'04_재고현금'!V16-'04_재고현금'!V17</f>
        <v>0</v>
      </c>
      <c r="W9" s="15">
        <f>'04_재고현금'!W14+'04_재고현금'!W13-'04_재고현금'!W16-'04_재고현금'!W17</f>
        <v>0</v>
      </c>
      <c r="X9" s="15">
        <f>'04_재고현금'!X14+'04_재고현금'!X13-'04_재고현금'!X16-'04_재고현금'!X17</f>
        <v>0</v>
      </c>
      <c r="Y9" s="15">
        <f>'04_재고현금'!Y14+'04_재고현금'!Y13-'04_재고현금'!Y16-'04_재고현금'!Y17</f>
        <v>0</v>
      </c>
      <c r="Z9" s="15">
        <f>'04_재고현금'!Z14+'04_재고현금'!Z13-'04_재고현금'!Z16-'04_재고현금'!Z17</f>
        <v>0</v>
      </c>
      <c r="AA9" s="15">
        <f>'04_재고현금'!AA14+'04_재고현금'!AA13-'04_재고현금'!AA16-'04_재고현금'!AA17</f>
        <v>0</v>
      </c>
      <c r="AB9" s="15">
        <f>'04_재고현금'!AB14+'04_재고현금'!AB13-'04_재고현금'!AB16-'04_재고현금'!AB17</f>
        <v>0</v>
      </c>
      <c r="AC9" s="15">
        <f>'04_재고현금'!AC14+'04_재고현금'!AC13-'04_재고현금'!AC16-'04_재고현금'!AC17</f>
        <v>0</v>
      </c>
      <c r="AD9" s="15">
        <f>'04_재고현금'!AD14+'04_재고현금'!AD13-'04_재고현금'!AD16-'04_재고현금'!AD17</f>
        <v>0</v>
      </c>
      <c r="AE9" s="15">
        <f>'04_재고현금'!AE14+'04_재고현금'!AE13-'04_재고현금'!AE16-'04_재고현금'!AE17</f>
        <v>0</v>
      </c>
      <c r="AF9" s="15">
        <f>'04_재고현금'!AF14+'04_재고현금'!AF13-'04_재고현금'!AF16-'04_재고현금'!AF17</f>
        <v>0</v>
      </c>
      <c r="AG9" s="15">
        <f>'04_재고현금'!AG14+'04_재고현금'!AG13-'04_재고현금'!AG16-'04_재고현금'!AG17</f>
        <v>0</v>
      </c>
      <c r="AH9" s="15">
        <f>'04_재고현금'!AH14+'04_재고현금'!AH13-'04_재고현금'!AH16-'04_재고현금'!AH17</f>
        <v>0</v>
      </c>
      <c r="AI9" s="15">
        <f>'04_재고현금'!AI14+'04_재고현금'!AI13-'04_재고현금'!AI16-'04_재고현금'!AI17</f>
        <v>0</v>
      </c>
      <c r="AJ9" s="15">
        <f>'04_재고현금'!AJ14+'04_재고현금'!AJ13-'04_재고현금'!AJ16-'04_재고현금'!AJ17</f>
        <v>0</v>
      </c>
      <c r="AK9" s="15">
        <f>'04_재고현금'!AK14+'04_재고현금'!AK13-'04_재고현금'!AK16-'04_재고현금'!AK17</f>
        <v>0</v>
      </c>
      <c r="AL9" s="15">
        <f>'04_재고현금'!AL14+'04_재고현금'!AL13-'04_재고현금'!AL16-'04_재고현금'!AL17</f>
        <v>0</v>
      </c>
      <c r="AM9" s="15">
        <f>'04_재고현금'!AM14+'04_재고현금'!AM13-'04_재고현금'!AM16-'04_재고현금'!AM17</f>
        <v>0</v>
      </c>
      <c r="AN9" s="15">
        <f>'04_재고현금'!AN14+'04_재고현금'!AN13-'04_재고현금'!AN16-'04_재고현금'!AN17</f>
        <v>0</v>
      </c>
      <c r="AO9" s="15">
        <f>'04_재고현금'!AO14+'04_재고현금'!AO13-'04_재고현금'!AO16-'04_재고현금'!AO17</f>
        <v>0</v>
      </c>
      <c r="AP9" s="15">
        <f>'04_재고현금'!AP14+'04_재고현금'!AP13-'04_재고현금'!AP16-'04_재고현금'!AP17</f>
        <v>0</v>
      </c>
      <c r="AQ9" s="15">
        <f>'04_재고현금'!AQ14+'04_재고현금'!AQ13-'04_재고현금'!AQ16-'04_재고현금'!AQ17</f>
        <v>0</v>
      </c>
      <c r="AR9" s="15">
        <f>'04_재고현금'!AR14+'04_재고현금'!AR13-'04_재고현금'!AR16-'04_재고현금'!AR17</f>
        <v>0</v>
      </c>
      <c r="AS9" s="15">
        <f>'04_재고현금'!AS14+'04_재고현금'!AS13-'04_재고현금'!AS16-'04_재고현금'!AS17</f>
        <v>0</v>
      </c>
    </row>
    <row r="10" spans="1:45" ht="22.95" customHeight="1">
      <c r="A10" s="1"/>
      <c r="B10" s="1"/>
      <c r="C10" s="1" t="s">
        <v>674</v>
      </c>
      <c r="D10" s="1"/>
      <c r="E10" s="1"/>
      <c r="F10" s="22">
        <f t="shared" si="0"/>
        <v>0</v>
      </c>
      <c r="G10" s="4" t="str">
        <f t="shared" si="1"/>
        <v>정상</v>
      </c>
      <c r="H10" s="1"/>
      <c r="I10" s="1"/>
      <c r="J10" s="15">
        <f>'04_재고현금'!J40-'04_재고현금'!J46</f>
        <v>0</v>
      </c>
      <c r="K10" s="15">
        <f>'04_재고현금'!K40-'04_재고현금'!K46</f>
        <v>0</v>
      </c>
      <c r="L10" s="15">
        <f>'04_재고현금'!L40-'04_재고현금'!L46</f>
        <v>0</v>
      </c>
      <c r="M10" s="15">
        <f>'04_재고현금'!M40-'04_재고현금'!M46</f>
        <v>0</v>
      </c>
      <c r="N10" s="15">
        <f>'04_재고현금'!N40-'04_재고현금'!N46</f>
        <v>0</v>
      </c>
      <c r="O10" s="15">
        <f>'04_재고현금'!O40-'04_재고현금'!O46</f>
        <v>0</v>
      </c>
      <c r="P10" s="15">
        <f>'04_재고현금'!P40-'04_재고현금'!P46</f>
        <v>0</v>
      </c>
      <c r="Q10" s="15">
        <f>'04_재고현금'!Q40-'04_재고현금'!Q46</f>
        <v>0</v>
      </c>
      <c r="R10" s="15">
        <f>'04_재고현금'!R40-'04_재고현금'!R46</f>
        <v>0</v>
      </c>
      <c r="S10" s="15">
        <f>'04_재고현금'!S40-'04_재고현금'!S46</f>
        <v>0</v>
      </c>
      <c r="T10" s="15">
        <f>'04_재고현금'!T40-'04_재고현금'!T46</f>
        <v>0</v>
      </c>
      <c r="U10" s="15">
        <f>'04_재고현금'!U40-'04_재고현금'!U46</f>
        <v>0</v>
      </c>
      <c r="V10" s="15">
        <f>'04_재고현금'!V40-'04_재고현금'!V46</f>
        <v>0</v>
      </c>
      <c r="W10" s="15">
        <f>'04_재고현금'!W40-'04_재고현금'!W46</f>
        <v>0</v>
      </c>
      <c r="X10" s="15">
        <f>'04_재고현금'!X40-'04_재고현금'!X46</f>
        <v>0</v>
      </c>
      <c r="Y10" s="15">
        <f>'04_재고현금'!Y40-'04_재고현금'!Y46</f>
        <v>0</v>
      </c>
      <c r="Z10" s="15">
        <f>'04_재고현금'!Z40-'04_재고현금'!Z46</f>
        <v>0</v>
      </c>
      <c r="AA10" s="15">
        <f>'04_재고현금'!AA40-'04_재고현금'!AA46</f>
        <v>0</v>
      </c>
      <c r="AB10" s="15">
        <f>'04_재고현금'!AB40-'04_재고현금'!AB46</f>
        <v>0</v>
      </c>
      <c r="AC10" s="15">
        <f>'04_재고현금'!AC40-'04_재고현금'!AC46</f>
        <v>0</v>
      </c>
      <c r="AD10" s="15">
        <f>'04_재고현금'!AD40-'04_재고현금'!AD46</f>
        <v>0</v>
      </c>
      <c r="AE10" s="15">
        <f>'04_재고현금'!AE40-'04_재고현금'!AE46</f>
        <v>0</v>
      </c>
      <c r="AF10" s="15">
        <f>'04_재고현금'!AF40-'04_재고현금'!AF46</f>
        <v>0</v>
      </c>
      <c r="AG10" s="15">
        <f>'04_재고현금'!AG40-'04_재고현금'!AG46</f>
        <v>0</v>
      </c>
      <c r="AH10" s="15">
        <f>'04_재고현금'!AH40-'04_재고현금'!AH46</f>
        <v>0</v>
      </c>
      <c r="AI10" s="15">
        <f>'04_재고현금'!AI40-'04_재고현금'!AI46</f>
        <v>0</v>
      </c>
      <c r="AJ10" s="15">
        <f>'04_재고현금'!AJ40-'04_재고현금'!AJ46</f>
        <v>0</v>
      </c>
      <c r="AK10" s="15">
        <f>'04_재고현금'!AK40-'04_재고현금'!AK46</f>
        <v>0</v>
      </c>
      <c r="AL10" s="15">
        <f>'04_재고현금'!AL40-'04_재고현금'!AL46</f>
        <v>0</v>
      </c>
      <c r="AM10" s="15">
        <f>'04_재고현금'!AM40-'04_재고현금'!AM46</f>
        <v>0</v>
      </c>
      <c r="AN10" s="15">
        <f>'04_재고현금'!AN40-'04_재고현금'!AN46</f>
        <v>0</v>
      </c>
      <c r="AO10" s="15">
        <f>'04_재고현금'!AO40-'04_재고현금'!AO46</f>
        <v>0</v>
      </c>
      <c r="AP10" s="15">
        <f>'04_재고현금'!AP40-'04_재고현금'!AP46</f>
        <v>0</v>
      </c>
      <c r="AQ10" s="15">
        <f>'04_재고현금'!AQ40-'04_재고현금'!AQ46</f>
        <v>0</v>
      </c>
      <c r="AR10" s="15">
        <f>'04_재고현금'!AR40-'04_재고현금'!AR46</f>
        <v>0</v>
      </c>
      <c r="AS10" s="15">
        <f>'04_재고현금'!AS40-'04_재고현금'!AS46</f>
        <v>0</v>
      </c>
    </row>
    <row r="11" spans="1:45" ht="22.95" customHeight="1">
      <c r="A11" s="1"/>
      <c r="B11" s="1"/>
      <c r="C11" s="1" t="s">
        <v>675</v>
      </c>
      <c r="D11" s="1"/>
      <c r="E11" s="1"/>
      <c r="F11" s="22">
        <f t="shared" si="0"/>
        <v>0</v>
      </c>
      <c r="G11" s="4" t="str">
        <f t="shared" si="1"/>
        <v>정상</v>
      </c>
      <c r="H11" s="1"/>
      <c r="I11" s="1"/>
      <c r="J11" s="15">
        <f>'04_재고현금'!J42+'04_재고현금'!J40+'04_재고현금'!J41-'04_재고현금'!J43</f>
        <v>0</v>
      </c>
      <c r="K11" s="15">
        <f>'04_재고현금'!K42+'04_재고현금'!K40+'04_재고현금'!K41-'04_재고현금'!K43</f>
        <v>0</v>
      </c>
      <c r="L11" s="15">
        <f>'04_재고현금'!L42+'04_재고현금'!L40+'04_재고현금'!L41-'04_재고현금'!L43</f>
        <v>0</v>
      </c>
      <c r="M11" s="15">
        <f>'04_재고현금'!M42+'04_재고현금'!M40+'04_재고현금'!M41-'04_재고현금'!M43</f>
        <v>0</v>
      </c>
      <c r="N11" s="15">
        <f>'04_재고현금'!N42+'04_재고현금'!N40+'04_재고현금'!N41-'04_재고현금'!N43</f>
        <v>0</v>
      </c>
      <c r="O11" s="15">
        <f>'04_재고현금'!O42+'04_재고현금'!O40+'04_재고현금'!O41-'04_재고현금'!O43</f>
        <v>0</v>
      </c>
      <c r="P11" s="15">
        <f>'04_재고현금'!P42+'04_재고현금'!P40+'04_재고현금'!P41-'04_재고현금'!P43</f>
        <v>0</v>
      </c>
      <c r="Q11" s="15">
        <f>'04_재고현금'!Q42+'04_재고현금'!Q40+'04_재고현금'!Q41-'04_재고현금'!Q43</f>
        <v>0</v>
      </c>
      <c r="R11" s="15">
        <f>'04_재고현금'!R42+'04_재고현금'!R40+'04_재고현금'!R41-'04_재고현금'!R43</f>
        <v>0</v>
      </c>
      <c r="S11" s="15">
        <f>'04_재고현금'!S42+'04_재고현금'!S40+'04_재고현금'!S41-'04_재고현금'!S43</f>
        <v>0</v>
      </c>
      <c r="T11" s="15">
        <f>'04_재고현금'!T42+'04_재고현금'!T40+'04_재고현금'!T41-'04_재고현금'!T43</f>
        <v>0</v>
      </c>
      <c r="U11" s="15">
        <f>'04_재고현금'!U42+'04_재고현금'!U40+'04_재고현금'!U41-'04_재고현금'!U43</f>
        <v>0</v>
      </c>
      <c r="V11" s="15">
        <f>'04_재고현금'!V42+'04_재고현금'!V40+'04_재고현금'!V41-'04_재고현금'!V43</f>
        <v>0</v>
      </c>
      <c r="W11" s="15">
        <f>'04_재고현금'!W42+'04_재고현금'!W40+'04_재고현금'!W41-'04_재고현금'!W43</f>
        <v>0</v>
      </c>
      <c r="X11" s="15">
        <f>'04_재고현금'!X42+'04_재고현금'!X40+'04_재고현금'!X41-'04_재고현금'!X43</f>
        <v>0</v>
      </c>
      <c r="Y11" s="15">
        <f>'04_재고현금'!Y42+'04_재고현금'!Y40+'04_재고현금'!Y41-'04_재고현금'!Y43</f>
        <v>0</v>
      </c>
      <c r="Z11" s="15">
        <f>'04_재고현금'!Z42+'04_재고현금'!Z40+'04_재고현금'!Z41-'04_재고현금'!Z43</f>
        <v>0</v>
      </c>
      <c r="AA11" s="15">
        <f>'04_재고현금'!AA42+'04_재고현금'!AA40+'04_재고현금'!AA41-'04_재고현금'!AA43</f>
        <v>0</v>
      </c>
      <c r="AB11" s="15">
        <f>'04_재고현금'!AB42+'04_재고현금'!AB40+'04_재고현금'!AB41-'04_재고현금'!AB43</f>
        <v>0</v>
      </c>
      <c r="AC11" s="15">
        <f>'04_재고현금'!AC42+'04_재고현금'!AC40+'04_재고현금'!AC41-'04_재고현금'!AC43</f>
        <v>0</v>
      </c>
      <c r="AD11" s="15">
        <f>'04_재고현금'!AD42+'04_재고현금'!AD40+'04_재고현금'!AD41-'04_재고현금'!AD43</f>
        <v>0</v>
      </c>
      <c r="AE11" s="15">
        <f>'04_재고현금'!AE42+'04_재고현금'!AE40+'04_재고현금'!AE41-'04_재고현금'!AE43</f>
        <v>0</v>
      </c>
      <c r="AF11" s="15">
        <f>'04_재고현금'!AF42+'04_재고현금'!AF40+'04_재고현금'!AF41-'04_재고현금'!AF43</f>
        <v>0</v>
      </c>
      <c r="AG11" s="15">
        <f>'04_재고현금'!AG42+'04_재고현금'!AG40+'04_재고현금'!AG41-'04_재고현금'!AG43</f>
        <v>0</v>
      </c>
      <c r="AH11" s="15">
        <f>'04_재고현금'!AH42+'04_재고현금'!AH40+'04_재고현금'!AH41-'04_재고현금'!AH43</f>
        <v>0</v>
      </c>
      <c r="AI11" s="15">
        <f>'04_재고현금'!AI42+'04_재고현금'!AI40+'04_재고현금'!AI41-'04_재고현금'!AI43</f>
        <v>0</v>
      </c>
      <c r="AJ11" s="15">
        <f>'04_재고현금'!AJ42+'04_재고현금'!AJ40+'04_재고현금'!AJ41-'04_재고현금'!AJ43</f>
        <v>0</v>
      </c>
      <c r="AK11" s="15">
        <f>'04_재고현금'!AK42+'04_재고현금'!AK40+'04_재고현금'!AK41-'04_재고현금'!AK43</f>
        <v>0</v>
      </c>
      <c r="AL11" s="15">
        <f>'04_재고현금'!AL42+'04_재고현금'!AL40+'04_재고현금'!AL41-'04_재고현금'!AL43</f>
        <v>0</v>
      </c>
      <c r="AM11" s="15">
        <f>'04_재고현금'!AM42+'04_재고현금'!AM40+'04_재고현금'!AM41-'04_재고현금'!AM43</f>
        <v>0</v>
      </c>
      <c r="AN11" s="15">
        <f>'04_재고현금'!AN42+'04_재고현금'!AN40+'04_재고현금'!AN41-'04_재고현금'!AN43</f>
        <v>0</v>
      </c>
      <c r="AO11" s="15">
        <f>'04_재고현금'!AO42+'04_재고현금'!AO40+'04_재고현금'!AO41-'04_재고현금'!AO43</f>
        <v>0</v>
      </c>
      <c r="AP11" s="15">
        <f>'04_재고현금'!AP42+'04_재고현금'!AP40+'04_재고현금'!AP41-'04_재고현금'!AP43</f>
        <v>0</v>
      </c>
      <c r="AQ11" s="15">
        <f>'04_재고현금'!AQ42+'04_재고현금'!AQ40+'04_재고현금'!AQ41-'04_재고현금'!AQ43</f>
        <v>0</v>
      </c>
      <c r="AR11" s="15">
        <f>'04_재고현금'!AR42+'04_재고현금'!AR40+'04_재고현금'!AR41-'04_재고현금'!AR43</f>
        <v>0</v>
      </c>
      <c r="AS11" s="15">
        <f>'04_재고현금'!AS42+'04_재고현금'!AS40+'04_재고현금'!AS41-'04_재고현금'!AS43</f>
        <v>0</v>
      </c>
    </row>
    <row r="12" spans="1:45" ht="22.95" customHeight="1">
      <c r="A12" s="1"/>
      <c r="B12" s="1"/>
      <c r="C12" s="1" t="s">
        <v>676</v>
      </c>
      <c r="D12" s="1"/>
      <c r="E12" s="1"/>
      <c r="F12" s="22">
        <f t="shared" si="0"/>
        <v>0</v>
      </c>
      <c r="G12" s="4" t="str">
        <f t="shared" si="1"/>
        <v>정상</v>
      </c>
      <c r="H12" s="1"/>
      <c r="I12" s="1"/>
      <c r="J12" s="15">
        <f>SUM('03_월별손익'!J30:J32)-'03_월별손익'!J33</f>
        <v>0</v>
      </c>
      <c r="K12" s="15">
        <f>SUM('03_월별손익'!K30:K32)-'03_월별손익'!K33</f>
        <v>0</v>
      </c>
      <c r="L12" s="15">
        <f>SUM('03_월별손익'!L30:L32)-'03_월별손익'!L33</f>
        <v>0</v>
      </c>
      <c r="M12" s="15">
        <f>SUM('03_월별손익'!M30:M32)-'03_월별손익'!M33</f>
        <v>0</v>
      </c>
      <c r="N12" s="15">
        <f>SUM('03_월별손익'!N30:N32)-'03_월별손익'!N33</f>
        <v>0</v>
      </c>
      <c r="O12" s="15">
        <f>SUM('03_월별손익'!O30:O32)-'03_월별손익'!O33</f>
        <v>0</v>
      </c>
      <c r="P12" s="15">
        <f>SUM('03_월별손익'!P30:P32)-'03_월별손익'!P33</f>
        <v>0</v>
      </c>
      <c r="Q12" s="15">
        <f>SUM('03_월별손익'!Q30:Q32)-'03_월별손익'!Q33</f>
        <v>0</v>
      </c>
      <c r="R12" s="15">
        <f>SUM('03_월별손익'!R30:R32)-'03_월별손익'!R33</f>
        <v>0</v>
      </c>
      <c r="S12" s="15">
        <f>SUM('03_월별손익'!S30:S32)-'03_월별손익'!S33</f>
        <v>0</v>
      </c>
      <c r="T12" s="15">
        <f>SUM('03_월별손익'!T30:T32)-'03_월별손익'!T33</f>
        <v>0</v>
      </c>
      <c r="U12" s="15">
        <f>SUM('03_월별손익'!U30:U32)-'03_월별손익'!U33</f>
        <v>0</v>
      </c>
      <c r="V12" s="15">
        <f>SUM('03_월별손익'!V30:V32)-'03_월별손익'!V33</f>
        <v>0</v>
      </c>
      <c r="W12" s="15">
        <f>SUM('03_월별손익'!W30:W32)-'03_월별손익'!W33</f>
        <v>0</v>
      </c>
      <c r="X12" s="15">
        <f>SUM('03_월별손익'!X30:X32)-'03_월별손익'!X33</f>
        <v>0</v>
      </c>
      <c r="Y12" s="15">
        <f>SUM('03_월별손익'!Y30:Y32)-'03_월별손익'!Y33</f>
        <v>0</v>
      </c>
      <c r="Z12" s="15">
        <f>SUM('03_월별손익'!Z30:Z32)-'03_월별손익'!Z33</f>
        <v>0</v>
      </c>
      <c r="AA12" s="15">
        <f>SUM('03_월별손익'!AA30:AA32)-'03_월별손익'!AA33</f>
        <v>0</v>
      </c>
      <c r="AB12" s="15">
        <f>SUM('03_월별손익'!AB30:AB32)-'03_월별손익'!AB33</f>
        <v>0</v>
      </c>
      <c r="AC12" s="15">
        <f>SUM('03_월별손익'!AC30:AC32)-'03_월별손익'!AC33</f>
        <v>0</v>
      </c>
      <c r="AD12" s="15">
        <f>SUM('03_월별손익'!AD30:AD32)-'03_월별손익'!AD33</f>
        <v>0</v>
      </c>
      <c r="AE12" s="15">
        <f>SUM('03_월별손익'!AE30:AE32)-'03_월별손익'!AE33</f>
        <v>0</v>
      </c>
      <c r="AF12" s="15">
        <f>SUM('03_월별손익'!AF30:AF32)-'03_월별손익'!AF33</f>
        <v>0</v>
      </c>
      <c r="AG12" s="15">
        <f>SUM('03_월별손익'!AG30:AG32)-'03_월별손익'!AG33</f>
        <v>0</v>
      </c>
      <c r="AH12" s="15">
        <f>SUM('03_월별손익'!AH30:AH32)-'03_월별손익'!AH33</f>
        <v>0</v>
      </c>
      <c r="AI12" s="15">
        <f>SUM('03_월별손익'!AI30:AI32)-'03_월별손익'!AI33</f>
        <v>0</v>
      </c>
      <c r="AJ12" s="15">
        <f>SUM('03_월별손익'!AJ30:AJ32)-'03_월별손익'!AJ33</f>
        <v>0</v>
      </c>
      <c r="AK12" s="15">
        <f>SUM('03_월별손익'!AK30:AK32)-'03_월별손익'!AK33</f>
        <v>0</v>
      </c>
      <c r="AL12" s="15">
        <f>SUM('03_월별손익'!AL30:AL32)-'03_월별손익'!AL33</f>
        <v>0</v>
      </c>
      <c r="AM12" s="15">
        <f>SUM('03_월별손익'!AM30:AM32)-'03_월별손익'!AM33</f>
        <v>0</v>
      </c>
      <c r="AN12" s="15">
        <f>SUM('03_월별손익'!AN30:AN32)-'03_월별손익'!AN33</f>
        <v>0</v>
      </c>
      <c r="AO12" s="15">
        <f>SUM('03_월별손익'!AO30:AO32)-'03_월별손익'!AO33</f>
        <v>0</v>
      </c>
      <c r="AP12" s="15">
        <f>SUM('03_월별손익'!AP30:AP32)-'03_월별손익'!AP33</f>
        <v>0</v>
      </c>
      <c r="AQ12" s="15">
        <f>SUM('03_월별손익'!AQ30:AQ32)-'03_월별손익'!AQ33</f>
        <v>0</v>
      </c>
      <c r="AR12" s="15">
        <f>SUM('03_월별손익'!AR30:AR32)-'03_월별손익'!AR33</f>
        <v>0</v>
      </c>
      <c r="AS12" s="15">
        <f>SUM('03_월별손익'!AS30:AS32)-'03_월별손익'!AS33</f>
        <v>0</v>
      </c>
    </row>
    <row r="13" spans="1:45" ht="22.95" customHeight="1">
      <c r="A13" s="1"/>
      <c r="B13" s="1"/>
      <c r="C13" s="1" t="s">
        <v>677</v>
      </c>
      <c r="D13" s="1"/>
      <c r="E13" s="1"/>
      <c r="F13" s="22">
        <f t="shared" si="0"/>
        <v>0</v>
      </c>
      <c r="G13" s="4" t="str">
        <f t="shared" si="1"/>
        <v>정상</v>
      </c>
      <c r="H13" s="1"/>
      <c r="I13" s="1"/>
      <c r="J13" s="15">
        <f>MIN(0,'04_재고현금'!J11)</f>
        <v>0</v>
      </c>
      <c r="K13" s="15">
        <f>MIN(0,'04_재고현금'!K11)</f>
        <v>0</v>
      </c>
      <c r="L13" s="15">
        <f>MIN(0,'04_재고현금'!L11)</f>
        <v>0</v>
      </c>
      <c r="M13" s="15">
        <f>MIN(0,'04_재고현금'!M11)</f>
        <v>0</v>
      </c>
      <c r="N13" s="15">
        <f>MIN(0,'04_재고현금'!N11)</f>
        <v>0</v>
      </c>
      <c r="O13" s="15">
        <f>MIN(0,'04_재고현금'!O11)</f>
        <v>0</v>
      </c>
      <c r="P13" s="15">
        <f>MIN(0,'04_재고현금'!P11)</f>
        <v>0</v>
      </c>
      <c r="Q13" s="15">
        <f>MIN(0,'04_재고현금'!Q11)</f>
        <v>0</v>
      </c>
      <c r="R13" s="15">
        <f>MIN(0,'04_재고현금'!R11)</f>
        <v>0</v>
      </c>
      <c r="S13" s="15">
        <f>MIN(0,'04_재고현금'!S11)</f>
        <v>0</v>
      </c>
      <c r="T13" s="15">
        <f>MIN(0,'04_재고현금'!T11)</f>
        <v>0</v>
      </c>
      <c r="U13" s="15">
        <f>MIN(0,'04_재고현금'!U11)</f>
        <v>0</v>
      </c>
      <c r="V13" s="15">
        <f>MIN(0,'04_재고현금'!V11)</f>
        <v>0</v>
      </c>
      <c r="W13" s="15">
        <f>MIN(0,'04_재고현금'!W11)</f>
        <v>0</v>
      </c>
      <c r="X13" s="15">
        <f>MIN(0,'04_재고현금'!X11)</f>
        <v>0</v>
      </c>
      <c r="Y13" s="15">
        <f>MIN(0,'04_재고현금'!Y11)</f>
        <v>0</v>
      </c>
      <c r="Z13" s="15">
        <f>MIN(0,'04_재고현금'!Z11)</f>
        <v>0</v>
      </c>
      <c r="AA13" s="15">
        <f>MIN(0,'04_재고현금'!AA11)</f>
        <v>0</v>
      </c>
      <c r="AB13" s="15">
        <f>MIN(0,'04_재고현금'!AB11)</f>
        <v>0</v>
      </c>
      <c r="AC13" s="15">
        <f>MIN(0,'04_재고현금'!AC11)</f>
        <v>0</v>
      </c>
      <c r="AD13" s="15">
        <f>MIN(0,'04_재고현금'!AD11)</f>
        <v>0</v>
      </c>
      <c r="AE13" s="15">
        <f>MIN(0,'04_재고현금'!AE11)</f>
        <v>0</v>
      </c>
      <c r="AF13" s="15">
        <f>MIN(0,'04_재고현금'!AF11)</f>
        <v>0</v>
      </c>
      <c r="AG13" s="15">
        <f>MIN(0,'04_재고현금'!AG11)</f>
        <v>0</v>
      </c>
      <c r="AH13" s="15">
        <f>MIN(0,'04_재고현금'!AH11)</f>
        <v>0</v>
      </c>
      <c r="AI13" s="15">
        <f>MIN(0,'04_재고현금'!AI11)</f>
        <v>0</v>
      </c>
      <c r="AJ13" s="15">
        <f>MIN(0,'04_재고현금'!AJ11)</f>
        <v>0</v>
      </c>
      <c r="AK13" s="15">
        <f>MIN(0,'04_재고현금'!AK11)</f>
        <v>0</v>
      </c>
      <c r="AL13" s="15">
        <f>MIN(0,'04_재고현금'!AL11)</f>
        <v>0</v>
      </c>
      <c r="AM13" s="15">
        <f>MIN(0,'04_재고현금'!AM11)</f>
        <v>0</v>
      </c>
      <c r="AN13" s="15">
        <f>MIN(0,'04_재고현금'!AN11)</f>
        <v>0</v>
      </c>
      <c r="AO13" s="15">
        <f>MIN(0,'04_재고현금'!AO11)</f>
        <v>0</v>
      </c>
      <c r="AP13" s="15">
        <f>MIN(0,'04_재고현금'!AP11)</f>
        <v>0</v>
      </c>
      <c r="AQ13" s="15">
        <f>MIN(0,'04_재고현금'!AQ11)</f>
        <v>0</v>
      </c>
      <c r="AR13" s="15">
        <f>MIN(0,'04_재고현금'!AR11)</f>
        <v>0</v>
      </c>
      <c r="AS13" s="15">
        <f>MIN(0,'04_재고현금'!AS11)</f>
        <v>0</v>
      </c>
    </row>
    <row r="14" spans="1:45" ht="22.95" customHeight="1">
      <c r="A14" s="1"/>
      <c r="B14" s="1"/>
      <c r="C14" s="1" t="s">
        <v>678</v>
      </c>
      <c r="D14" s="1"/>
      <c r="E14" s="1"/>
      <c r="F14" s="22">
        <f t="shared" si="0"/>
        <v>0</v>
      </c>
      <c r="G14" s="4" t="str">
        <f t="shared" si="1"/>
        <v>정상</v>
      </c>
      <c r="H14" s="1"/>
      <c r="I14" s="1"/>
      <c r="J14" s="15">
        <f>SUM('03_월별손익'!J26:J27)-'03_월별손익'!J28</f>
        <v>0</v>
      </c>
      <c r="K14" s="15">
        <f>SUM('03_월별손익'!K26:K27)-'03_월별손익'!K28</f>
        <v>0</v>
      </c>
      <c r="L14" s="15">
        <f>SUM('03_월별손익'!L26:L27)-'03_월별손익'!L28</f>
        <v>0</v>
      </c>
      <c r="M14" s="15">
        <f>SUM('03_월별손익'!M26:M27)-'03_월별손익'!M28</f>
        <v>0</v>
      </c>
      <c r="N14" s="15">
        <f>SUM('03_월별손익'!N26:N27)-'03_월별손익'!N28</f>
        <v>0</v>
      </c>
      <c r="O14" s="15">
        <f>SUM('03_월별손익'!O26:O27)-'03_월별손익'!O28</f>
        <v>0</v>
      </c>
      <c r="P14" s="15">
        <f>SUM('03_월별손익'!P26:P27)-'03_월별손익'!P28</f>
        <v>0</v>
      </c>
      <c r="Q14" s="15">
        <f>SUM('03_월별손익'!Q26:Q27)-'03_월별손익'!Q28</f>
        <v>0</v>
      </c>
      <c r="R14" s="15">
        <f>SUM('03_월별손익'!R26:R27)-'03_월별손익'!R28</f>
        <v>0</v>
      </c>
      <c r="S14" s="15">
        <f>SUM('03_월별손익'!S26:S27)-'03_월별손익'!S28</f>
        <v>0</v>
      </c>
      <c r="T14" s="15">
        <f>SUM('03_월별손익'!T26:T27)-'03_월별손익'!T28</f>
        <v>0</v>
      </c>
      <c r="U14" s="15">
        <f>SUM('03_월별손익'!U26:U27)-'03_월별손익'!U28</f>
        <v>0</v>
      </c>
      <c r="V14" s="15">
        <f>SUM('03_월별손익'!V26:V27)-'03_월별손익'!V28</f>
        <v>0</v>
      </c>
      <c r="W14" s="15">
        <f>SUM('03_월별손익'!W26:W27)-'03_월별손익'!W28</f>
        <v>0</v>
      </c>
      <c r="X14" s="15">
        <f>SUM('03_월별손익'!X26:X27)-'03_월별손익'!X28</f>
        <v>0</v>
      </c>
      <c r="Y14" s="15">
        <f>SUM('03_월별손익'!Y26:Y27)-'03_월별손익'!Y28</f>
        <v>0</v>
      </c>
      <c r="Z14" s="15">
        <f>SUM('03_월별손익'!Z26:Z27)-'03_월별손익'!Z28</f>
        <v>0</v>
      </c>
      <c r="AA14" s="15">
        <f>SUM('03_월별손익'!AA26:AA27)-'03_월별손익'!AA28</f>
        <v>0</v>
      </c>
      <c r="AB14" s="15">
        <f>SUM('03_월별손익'!AB26:AB27)-'03_월별손익'!AB28</f>
        <v>0</v>
      </c>
      <c r="AC14" s="15">
        <f>SUM('03_월별손익'!AC26:AC27)-'03_월별손익'!AC28</f>
        <v>0</v>
      </c>
      <c r="AD14" s="15">
        <f>SUM('03_월별손익'!AD26:AD27)-'03_월별손익'!AD28</f>
        <v>0</v>
      </c>
      <c r="AE14" s="15">
        <f>SUM('03_월별손익'!AE26:AE27)-'03_월별손익'!AE28</f>
        <v>0</v>
      </c>
      <c r="AF14" s="15">
        <f>SUM('03_월별손익'!AF26:AF27)-'03_월별손익'!AF28</f>
        <v>0</v>
      </c>
      <c r="AG14" s="15">
        <f>SUM('03_월별손익'!AG26:AG27)-'03_월별손익'!AG28</f>
        <v>0</v>
      </c>
      <c r="AH14" s="15">
        <f>SUM('03_월별손익'!AH26:AH27)-'03_월별손익'!AH28</f>
        <v>0</v>
      </c>
      <c r="AI14" s="15">
        <f>SUM('03_월별손익'!AI26:AI27)-'03_월별손익'!AI28</f>
        <v>0</v>
      </c>
      <c r="AJ14" s="15">
        <f>SUM('03_월별손익'!AJ26:AJ27)-'03_월별손익'!AJ28</f>
        <v>0</v>
      </c>
      <c r="AK14" s="15">
        <f>SUM('03_월별손익'!AK26:AK27)-'03_월별손익'!AK28</f>
        <v>0</v>
      </c>
      <c r="AL14" s="15">
        <f>SUM('03_월별손익'!AL26:AL27)-'03_월별손익'!AL28</f>
        <v>0</v>
      </c>
      <c r="AM14" s="15">
        <f>SUM('03_월별손익'!AM26:AM27)-'03_월별손익'!AM28</f>
        <v>0</v>
      </c>
      <c r="AN14" s="15">
        <f>SUM('03_월별손익'!AN26:AN27)-'03_월별손익'!AN28</f>
        <v>0</v>
      </c>
      <c r="AO14" s="15">
        <f>SUM('03_월별손익'!AO26:AO27)-'03_월별손익'!AO28</f>
        <v>0</v>
      </c>
      <c r="AP14" s="15">
        <f>SUM('03_월별손익'!AP26:AP27)-'03_월별손익'!AP28</f>
        <v>0</v>
      </c>
      <c r="AQ14" s="15">
        <f>SUM('03_월별손익'!AQ26:AQ27)-'03_월별손익'!AQ28</f>
        <v>0</v>
      </c>
      <c r="AR14" s="15">
        <f>SUM('03_월별손익'!AR26:AR27)-'03_월별손익'!AR28</f>
        <v>0</v>
      </c>
      <c r="AS14" s="15">
        <f>SUM('03_월별손익'!AS26:AS27)-'03_월별손익'!AS28</f>
        <v>0</v>
      </c>
    </row>
    <row r="15" spans="1:45" ht="22.95" customHeight="1">
      <c r="A15" s="1"/>
      <c r="B15" s="1"/>
      <c r="C15" s="1"/>
      <c r="D15" s="1"/>
      <c r="E15" s="1"/>
      <c r="F15" s="29"/>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1:45" ht="22.95" customHeight="1">
      <c r="A16" s="1"/>
      <c r="B16" s="1"/>
      <c r="C16" s="1"/>
      <c r="D16" s="1"/>
      <c r="E16" s="1"/>
      <c r="F16" s="29"/>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1:45" ht="22.95" customHeight="1">
      <c r="A17" s="1"/>
      <c r="B17" s="1"/>
      <c r="C17" s="1" t="s">
        <v>679</v>
      </c>
      <c r="D17" s="1"/>
      <c r="E17" s="1"/>
      <c r="F17" s="21">
        <f>SUM('05_100일검증'!F8:F17)-10000000</f>
        <v>0</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1:45" ht="22.95" customHeight="1">
      <c r="A18" s="1"/>
      <c r="B18" s="1"/>
      <c r="C18" s="1" t="s">
        <v>680</v>
      </c>
      <c r="D18" s="1"/>
      <c r="E18" s="1"/>
      <c r="F18" s="21">
        <f>SUM('05_100일검증'!J23:M23)-1</f>
        <v>0</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22.95" customHeight="1">
      <c r="A19" s="1"/>
      <c r="B19" s="1"/>
      <c r="C19" s="1" t="s">
        <v>681</v>
      </c>
      <c r="D19" s="1"/>
      <c r="E19" s="1"/>
      <c r="F19" s="21">
        <f>SUM('07_근거원문'!E52:E58)-300000000</f>
        <v>0</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22.95" customHeight="1">
      <c r="A20" s="1"/>
      <c r="B20" s="1"/>
      <c r="C20" s="1" t="s">
        <v>682</v>
      </c>
      <c r="D20" s="1"/>
      <c r="E20" s="1"/>
      <c r="F20" s="21">
        <f>IF('01_가정'!$F$95=0,SUM('03_월별손익'!J31:AS31),0)</f>
        <v>0</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1:45" ht="22.95" customHeight="1">
      <c r="A21" s="1"/>
      <c r="B21" s="1"/>
      <c r="C21" s="1" t="s">
        <v>683</v>
      </c>
      <c r="D21" s="1"/>
      <c r="E21" s="1"/>
      <c r="F21" s="15" t="str">
        <f>IF(COUNT('08_실측입력'!F8:F20)=0,"미관측","관측값 있음")</f>
        <v>미관측</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ht="22.9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1:45" ht="22.9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1:45" ht="36" customHeight="1">
      <c r="A24" s="1"/>
      <c r="B24" s="1"/>
      <c r="C24" s="35" t="s">
        <v>684</v>
      </c>
      <c r="D24" s="35"/>
      <c r="E24" s="35"/>
      <c r="F24" s="35"/>
      <c r="G24" s="35"/>
      <c r="H24" s="35"/>
      <c r="I24" s="35"/>
      <c r="J24" s="35"/>
      <c r="K24" s="35"/>
      <c r="L24" s="35"/>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ht="22.9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1:45" ht="22.9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ht="22.9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ht="22.9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1:45" ht="22.9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1:45" ht="22.9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ht="22.9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1:45" ht="22.9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ht="22.9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22.9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22.9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sheetData>
  <mergeCells count="1">
    <mergeCell ref="C24:L24"/>
  </mergeCells>
  <phoneticPr fontId="24" type="noConversion"/>
  <conditionalFormatting sqref="F8:F20">
    <cfRule type="cellIs" dxfId="0" priority="1" operator="greaterThan">
      <formula>0.01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7E8B"/>
  </sheetPr>
  <dimension ref="A1:Q260"/>
  <sheetViews>
    <sheetView showGridLines="0" workbookViewId="0">
      <pane ySplit="4" topLeftCell="A5" activePane="bottomLeft" state="frozen"/>
      <selection pane="bottomLeft"/>
    </sheetView>
  </sheetViews>
  <sheetFormatPr defaultRowHeight="13.8"/>
  <cols>
    <col min="1" max="2" width="2" customWidth="1"/>
    <col min="3" max="9" width="9" customWidth="1"/>
    <col min="10" max="10" width="2" customWidth="1"/>
    <col min="11" max="17" width="9" customWidth="1"/>
  </cols>
  <sheetData>
    <row r="1" spans="1:17" ht="19.95" customHeight="1">
      <c r="A1" s="32"/>
      <c r="B1" s="32"/>
      <c r="C1" s="32"/>
      <c r="D1" s="32"/>
      <c r="E1" s="32"/>
      <c r="F1" s="32"/>
      <c r="G1" s="32"/>
      <c r="H1" s="32"/>
      <c r="I1" s="32"/>
      <c r="J1" s="32"/>
      <c r="K1" s="32"/>
      <c r="L1" s="32"/>
      <c r="M1" s="32"/>
      <c r="N1" s="32"/>
      <c r="O1" s="32"/>
      <c r="P1" s="32"/>
      <c r="Q1" s="32"/>
    </row>
    <row r="2" spans="1:17" ht="36" customHeight="1">
      <c r="A2" s="32"/>
      <c r="B2" s="32"/>
      <c r="C2" s="41" t="s">
        <v>685</v>
      </c>
      <c r="D2" s="41"/>
      <c r="E2" s="41"/>
      <c r="F2" s="41"/>
      <c r="G2" s="41"/>
      <c r="H2" s="41"/>
      <c r="I2" s="41"/>
      <c r="J2" s="41"/>
      <c r="K2" s="41"/>
      <c r="L2" s="41"/>
      <c r="M2" s="41"/>
      <c r="N2" s="41"/>
      <c r="O2" s="41"/>
      <c r="P2" s="41"/>
      <c r="Q2" s="41"/>
    </row>
    <row r="3" spans="1:17" ht="19.95" customHeight="1">
      <c r="A3" s="32"/>
      <c r="B3" s="32"/>
      <c r="C3" s="42" t="s">
        <v>686</v>
      </c>
      <c r="D3" s="42"/>
      <c r="E3" s="42"/>
      <c r="F3" s="42"/>
      <c r="G3" s="42"/>
      <c r="H3" s="42"/>
      <c r="I3" s="42"/>
      <c r="J3" s="42"/>
      <c r="K3" s="42"/>
      <c r="L3" s="42"/>
      <c r="M3" s="42"/>
      <c r="N3" s="42"/>
      <c r="O3" s="42"/>
      <c r="P3" s="42"/>
      <c r="Q3" s="42"/>
    </row>
    <row r="4" spans="1:17" ht="28.05" customHeight="1">
      <c r="A4" s="32"/>
      <c r="B4" s="32"/>
      <c r="C4" s="43" t="s">
        <v>687</v>
      </c>
      <c r="D4" s="43"/>
      <c r="E4" s="43"/>
      <c r="F4" s="43"/>
      <c r="G4" s="44" t="str">
        <f>'01_가정'!H4</f>
        <v>보수</v>
      </c>
      <c r="H4" s="44"/>
      <c r="I4" s="44"/>
      <c r="J4" s="32"/>
      <c r="K4" s="45" t="s">
        <v>688</v>
      </c>
      <c r="L4" s="45"/>
      <c r="M4" s="45"/>
      <c r="N4" s="45"/>
      <c r="O4" s="45"/>
      <c r="P4" s="45"/>
      <c r="Q4" s="45"/>
    </row>
    <row r="5" spans="1:17" ht="19.95" customHeight="1">
      <c r="A5" s="32"/>
      <c r="B5" s="32"/>
      <c r="C5" s="32"/>
      <c r="D5" s="32"/>
      <c r="E5" s="32"/>
      <c r="F5" s="32"/>
      <c r="G5" s="32"/>
      <c r="H5" s="32"/>
      <c r="I5" s="32"/>
      <c r="J5" s="32"/>
      <c r="K5" s="32"/>
      <c r="L5" s="32"/>
      <c r="M5" s="32"/>
      <c r="N5" s="32"/>
      <c r="O5" s="32"/>
      <c r="P5" s="32"/>
      <c r="Q5" s="32"/>
    </row>
    <row r="6" spans="1:17" ht="19.95" customHeight="1">
      <c r="A6" s="32"/>
      <c r="B6" s="32"/>
      <c r="C6" s="43" t="s">
        <v>689</v>
      </c>
      <c r="D6" s="43"/>
      <c r="E6" s="43"/>
      <c r="F6" s="46" t="s">
        <v>690</v>
      </c>
      <c r="G6" s="46"/>
      <c r="H6" s="46"/>
      <c r="I6" s="46"/>
      <c r="J6" s="32"/>
      <c r="K6" s="43" t="s">
        <v>691</v>
      </c>
      <c r="L6" s="43"/>
      <c r="M6" s="43"/>
      <c r="N6" s="46" t="s">
        <v>692</v>
      </c>
      <c r="O6" s="46"/>
      <c r="P6" s="46"/>
      <c r="Q6" s="46"/>
    </row>
    <row r="7" spans="1:17" ht="30" customHeight="1">
      <c r="A7" s="32"/>
      <c r="B7" s="32"/>
      <c r="C7" s="43" t="s">
        <v>693</v>
      </c>
      <c r="D7" s="43"/>
      <c r="E7" s="43"/>
      <c r="F7" s="46" t="s">
        <v>694</v>
      </c>
      <c r="G7" s="46"/>
      <c r="H7" s="46"/>
      <c r="I7" s="46"/>
      <c r="J7" s="46"/>
      <c r="K7" s="46"/>
      <c r="L7" s="46"/>
      <c r="M7" s="46"/>
      <c r="N7" s="46"/>
      <c r="O7" s="46"/>
      <c r="P7" s="46"/>
      <c r="Q7" s="46"/>
    </row>
    <row r="8" spans="1:17" ht="19.95" customHeight="1">
      <c r="A8" s="32"/>
      <c r="B8" s="32"/>
      <c r="C8" s="32"/>
      <c r="D8" s="32"/>
      <c r="E8" s="32"/>
      <c r="F8" s="32"/>
      <c r="G8" s="32"/>
      <c r="H8" s="32"/>
      <c r="I8" s="32"/>
      <c r="J8" s="32"/>
      <c r="K8" s="32"/>
      <c r="L8" s="32"/>
      <c r="M8" s="32"/>
      <c r="N8" s="32"/>
      <c r="O8" s="32"/>
      <c r="P8" s="32"/>
      <c r="Q8" s="32"/>
    </row>
    <row r="9" spans="1:17" ht="28.05" customHeight="1">
      <c r="A9" s="32"/>
      <c r="B9" s="32"/>
      <c r="C9" s="43" t="s">
        <v>695</v>
      </c>
      <c r="D9" s="43"/>
      <c r="E9" s="43"/>
      <c r="F9" s="46" t="s">
        <v>696</v>
      </c>
      <c r="G9" s="46"/>
      <c r="H9" s="46"/>
      <c r="I9" s="46" t="s">
        <v>697</v>
      </c>
      <c r="J9" s="46"/>
      <c r="K9" s="46"/>
      <c r="L9" s="46"/>
      <c r="M9" s="46"/>
      <c r="N9" s="46"/>
      <c r="O9" s="46"/>
      <c r="P9" s="46"/>
      <c r="Q9" s="46"/>
    </row>
    <row r="10" spans="1:17" ht="28.05" customHeight="1">
      <c r="A10" s="32"/>
      <c r="B10" s="32"/>
      <c r="C10" s="43" t="s">
        <v>698</v>
      </c>
      <c r="D10" s="43"/>
      <c r="E10" s="43"/>
      <c r="F10" s="46"/>
      <c r="G10" s="46"/>
      <c r="H10" s="46"/>
      <c r="I10" s="46" t="s">
        <v>699</v>
      </c>
      <c r="J10" s="46"/>
      <c r="K10" s="46"/>
      <c r="L10" s="46"/>
      <c r="M10" s="46"/>
      <c r="N10" s="46"/>
      <c r="O10" s="46"/>
      <c r="P10" s="46"/>
      <c r="Q10" s="46"/>
    </row>
    <row r="11" spans="1:17" ht="28.05" customHeight="1">
      <c r="A11" s="32"/>
      <c r="B11" s="32"/>
      <c r="C11" s="43" t="s">
        <v>700</v>
      </c>
      <c r="D11" s="43"/>
      <c r="E11" s="43"/>
      <c r="F11" s="46"/>
      <c r="G11" s="46"/>
      <c r="H11" s="46"/>
      <c r="I11" s="46" t="s">
        <v>701</v>
      </c>
      <c r="J11" s="46"/>
      <c r="K11" s="46"/>
      <c r="L11" s="46"/>
      <c r="M11" s="46"/>
      <c r="N11" s="46"/>
      <c r="O11" s="46"/>
      <c r="P11" s="46"/>
      <c r="Q11" s="46"/>
    </row>
    <row r="12" spans="1:17" ht="19.95" customHeight="1">
      <c r="A12" s="32"/>
      <c r="B12" s="32"/>
      <c r="C12" s="42" t="s">
        <v>702</v>
      </c>
      <c r="D12" s="42"/>
      <c r="E12" s="42"/>
      <c r="F12" s="42"/>
      <c r="G12" s="42"/>
      <c r="H12" s="42"/>
      <c r="I12" s="42"/>
      <c r="J12" s="42"/>
      <c r="K12" s="42"/>
      <c r="L12" s="42"/>
      <c r="M12" s="42"/>
      <c r="N12" s="42"/>
      <c r="O12" s="42"/>
      <c r="P12" s="42"/>
      <c r="Q12" s="42"/>
    </row>
    <row r="13" spans="1:17" ht="19.95" customHeight="1">
      <c r="A13" s="32"/>
      <c r="B13" s="32"/>
      <c r="C13" s="42"/>
      <c r="D13" s="42"/>
      <c r="E13" s="42"/>
      <c r="F13" s="42"/>
      <c r="G13" s="42"/>
      <c r="H13" s="42"/>
      <c r="I13" s="42"/>
      <c r="J13" s="42"/>
      <c r="K13" s="42"/>
      <c r="L13" s="42"/>
      <c r="M13" s="42"/>
      <c r="N13" s="42"/>
      <c r="O13" s="42"/>
      <c r="P13" s="42"/>
      <c r="Q13" s="42"/>
    </row>
    <row r="14" spans="1:17" ht="19.95" customHeight="1">
      <c r="A14" s="32"/>
      <c r="B14" s="32"/>
      <c r="C14" s="32"/>
      <c r="D14" s="32"/>
      <c r="E14" s="32"/>
      <c r="F14" s="32"/>
      <c r="G14" s="32"/>
      <c r="H14" s="32"/>
      <c r="I14" s="32"/>
      <c r="J14" s="32"/>
      <c r="K14" s="32"/>
      <c r="L14" s="32"/>
      <c r="M14" s="32"/>
      <c r="N14" s="32"/>
      <c r="O14" s="32"/>
      <c r="P14" s="32"/>
      <c r="Q14" s="32"/>
    </row>
    <row r="15" spans="1:17" ht="19.95" customHeight="1">
      <c r="A15" s="32"/>
      <c r="B15" s="32"/>
      <c r="C15" s="43" t="s">
        <v>703</v>
      </c>
      <c r="D15" s="43"/>
      <c r="E15" s="43"/>
      <c r="F15" s="43"/>
      <c r="G15" s="43"/>
      <c r="H15" s="43"/>
      <c r="I15" s="43"/>
      <c r="J15" s="43"/>
      <c r="K15" s="43"/>
      <c r="L15" s="43"/>
      <c r="M15" s="43"/>
      <c r="N15" s="43"/>
      <c r="O15" s="43"/>
      <c r="P15" s="43"/>
      <c r="Q15" s="43"/>
    </row>
    <row r="16" spans="1:17" ht="19.95" customHeight="1">
      <c r="A16" s="32"/>
      <c r="B16" s="32"/>
      <c r="C16" s="47" t="s">
        <v>3</v>
      </c>
      <c r="D16" s="47"/>
      <c r="E16" s="47"/>
      <c r="F16" s="47"/>
      <c r="G16" s="47" t="s">
        <v>5</v>
      </c>
      <c r="H16" s="47"/>
      <c r="I16" s="47"/>
      <c r="J16" s="32"/>
      <c r="K16" s="47" t="s">
        <v>6</v>
      </c>
      <c r="L16" s="47"/>
      <c r="M16" s="47"/>
      <c r="N16" s="47" t="s">
        <v>7</v>
      </c>
      <c r="O16" s="47"/>
      <c r="P16" s="47"/>
      <c r="Q16" s="47"/>
    </row>
    <row r="17" spans="1:17" ht="25.95" customHeight="1">
      <c r="A17" s="32"/>
      <c r="B17" s="32"/>
      <c r="C17" s="48" t="s">
        <v>704</v>
      </c>
      <c r="D17" s="48"/>
      <c r="E17" s="48"/>
      <c r="F17" s="48"/>
      <c r="G17" s="49">
        <f>'03_월별손익'!F33/1000000</f>
        <v>5.6121698181818171</v>
      </c>
      <c r="H17" s="49"/>
      <c r="I17" s="49"/>
      <c r="J17" s="32"/>
      <c r="K17" s="49">
        <f>'03_월별손익'!G33/1000000</f>
        <v>85.304201575224198</v>
      </c>
      <c r="L17" s="49"/>
      <c r="M17" s="49"/>
      <c r="N17" s="49">
        <f>'03_월별손익'!H33/1000000</f>
        <v>184.72419248468327</v>
      </c>
      <c r="O17" s="49"/>
      <c r="P17" s="49"/>
      <c r="Q17" s="49"/>
    </row>
    <row r="18" spans="1:17" ht="25.95" customHeight="1">
      <c r="A18" s="32"/>
      <c r="B18" s="32"/>
      <c r="C18" s="48" t="s">
        <v>705</v>
      </c>
      <c r="D18" s="48"/>
      <c r="E18" s="48"/>
      <c r="F18" s="48"/>
      <c r="G18" s="49">
        <f>('03_월별손익'!F33-'03_월별손익'!F54)/1000000</f>
        <v>252.44873182622223</v>
      </c>
      <c r="H18" s="49"/>
      <c r="I18" s="49"/>
      <c r="J18" s="32"/>
      <c r="K18" s="49">
        <f>('03_월별손익'!G33-'03_월별손익'!G54)/1000000</f>
        <v>326.28946445565532</v>
      </c>
      <c r="L18" s="49"/>
      <c r="M18" s="49"/>
      <c r="N18" s="49">
        <f>('03_월별손익'!H33-'03_월별손익'!H54)/1000000</f>
        <v>430.61317654207136</v>
      </c>
      <c r="O18" s="49"/>
      <c r="P18" s="49"/>
      <c r="Q18" s="49"/>
    </row>
    <row r="19" spans="1:17" ht="25.95" customHeight="1">
      <c r="A19" s="32"/>
      <c r="B19" s="32"/>
      <c r="C19" s="48" t="s">
        <v>16</v>
      </c>
      <c r="D19" s="48"/>
      <c r="E19" s="48"/>
      <c r="F19" s="48"/>
      <c r="G19" s="50">
        <f>'03_월별손익'!F54/1000000</f>
        <v>-246.83656200804043</v>
      </c>
      <c r="H19" s="50"/>
      <c r="I19" s="50"/>
      <c r="J19" s="32"/>
      <c r="K19" s="50">
        <f>'03_월별손익'!G54/1000000</f>
        <v>-240.98526288043112</v>
      </c>
      <c r="L19" s="50"/>
      <c r="M19" s="50"/>
      <c r="N19" s="50">
        <f>'03_월별손익'!H54/1000000</f>
        <v>-245.88898405738803</v>
      </c>
      <c r="O19" s="50"/>
      <c r="P19" s="50"/>
      <c r="Q19" s="50"/>
    </row>
    <row r="20" spans="1:17" ht="25.95" customHeight="1">
      <c r="A20" s="32"/>
      <c r="B20" s="32"/>
      <c r="C20" s="48" t="s">
        <v>706</v>
      </c>
      <c r="D20" s="48"/>
      <c r="E20" s="48"/>
      <c r="F20" s="48"/>
      <c r="G20" s="49">
        <f>'04_재고현금'!F43/1000000</f>
        <v>-8.5137737644000033</v>
      </c>
      <c r="H20" s="49"/>
      <c r="I20" s="49"/>
      <c r="J20" s="32"/>
      <c r="K20" s="49">
        <f>'04_재고현금'!G43/1000000</f>
        <v>-252.32793416527164</v>
      </c>
      <c r="L20" s="49"/>
      <c r="M20" s="49"/>
      <c r="N20" s="49">
        <f>'04_재고현금'!H43/1000000</f>
        <v>-471.88362825423917</v>
      </c>
      <c r="O20" s="49"/>
      <c r="P20" s="49"/>
      <c r="Q20" s="49"/>
    </row>
    <row r="21" spans="1:17" ht="25.95" customHeight="1">
      <c r="A21" s="32"/>
      <c r="B21" s="32"/>
      <c r="C21" s="48" t="s">
        <v>8</v>
      </c>
      <c r="D21" s="48"/>
      <c r="E21" s="48"/>
      <c r="F21" s="48"/>
      <c r="G21" s="51">
        <f>'03_월별손익'!F19</f>
        <v>56</v>
      </c>
      <c r="H21" s="51"/>
      <c r="I21" s="51"/>
      <c r="J21" s="32"/>
      <c r="K21" s="51">
        <f>'03_월별손익'!G19</f>
        <v>804</v>
      </c>
      <c r="L21" s="51"/>
      <c r="M21" s="51"/>
      <c r="N21" s="51">
        <f>'03_월별손익'!H19</f>
        <v>1680</v>
      </c>
      <c r="O21" s="51"/>
      <c r="P21" s="51"/>
      <c r="Q21" s="51"/>
    </row>
    <row r="22" spans="1:17" ht="19.95" customHeight="1">
      <c r="A22" s="32"/>
      <c r="B22" s="32"/>
      <c r="C22" s="32"/>
      <c r="D22" s="32"/>
      <c r="E22" s="32"/>
      <c r="F22" s="32"/>
      <c r="G22" s="32"/>
      <c r="H22" s="32"/>
      <c r="I22" s="32"/>
      <c r="J22" s="32"/>
      <c r="K22" s="32"/>
      <c r="L22" s="32"/>
      <c r="M22" s="32"/>
      <c r="N22" s="32"/>
      <c r="O22" s="32"/>
      <c r="P22" s="32"/>
      <c r="Q22" s="32"/>
    </row>
    <row r="23" spans="1:17" ht="19.95" customHeight="1">
      <c r="A23" s="32"/>
      <c r="B23" s="32"/>
      <c r="C23" s="44" t="str">
        <f>"초기 투자금 "&amp;TEXT('01_가정'!F105/100000000,"0.0")&amp;"억원 | 36개월 최대 추가자금 필요 "&amp;TEXT('00_투자판단'!F23/1000000,"#,##0.0")&amp;"백만원 | 최소 현금 "&amp;TEXT('01_가정'!F106/1000000,"#,##0.0")&amp;"백만원 유지 기준. 초기 투자금은 자금 유입이며 손익상 비용과 다릅니다."</f>
        <v>초기 투자금 3.0억원 | 36개월 최대 추가자금 필요 501.9백만원 | 최소 현금 30.0백만원 유지 기준. 초기 투자금은 자금 유입이며 손익상 비용과 다릅니다.</v>
      </c>
      <c r="D23" s="44"/>
      <c r="E23" s="44"/>
      <c r="F23" s="44"/>
      <c r="G23" s="44"/>
      <c r="H23" s="44"/>
      <c r="I23" s="44"/>
      <c r="J23" s="44"/>
      <c r="K23" s="44"/>
      <c r="L23" s="44"/>
      <c r="M23" s="44"/>
      <c r="N23" s="44"/>
      <c r="O23" s="44"/>
      <c r="P23" s="44"/>
      <c r="Q23" s="44"/>
    </row>
    <row r="24" spans="1:17" ht="19.95" customHeight="1">
      <c r="A24" s="32"/>
      <c r="B24" s="32"/>
      <c r="C24" s="44"/>
      <c r="D24" s="44"/>
      <c r="E24" s="44"/>
      <c r="F24" s="44"/>
      <c r="G24" s="44"/>
      <c r="H24" s="44"/>
      <c r="I24" s="44"/>
      <c r="J24" s="44"/>
      <c r="K24" s="44"/>
      <c r="L24" s="44"/>
      <c r="M24" s="44"/>
      <c r="N24" s="44"/>
      <c r="O24" s="44"/>
      <c r="P24" s="44"/>
      <c r="Q24" s="44"/>
    </row>
    <row r="25" spans="1:17" ht="19.95" customHeight="1">
      <c r="A25" s="32"/>
      <c r="B25" s="32"/>
      <c r="C25" s="42" t="s">
        <v>707</v>
      </c>
      <c r="D25" s="42"/>
      <c r="E25" s="42"/>
      <c r="F25" s="42"/>
      <c r="G25" s="42"/>
      <c r="H25" s="42"/>
      <c r="I25" s="42"/>
      <c r="J25" s="42"/>
      <c r="K25" s="42"/>
      <c r="L25" s="42"/>
      <c r="M25" s="42"/>
      <c r="N25" s="42"/>
      <c r="O25" s="42"/>
      <c r="P25" s="42"/>
      <c r="Q25" s="42"/>
    </row>
    <row r="26" spans="1:17" ht="19.95" customHeight="1">
      <c r="A26" s="32"/>
      <c r="B26" s="32"/>
      <c r="C26" s="42"/>
      <c r="D26" s="42"/>
      <c r="E26" s="42"/>
      <c r="F26" s="42"/>
      <c r="G26" s="42"/>
      <c r="H26" s="42"/>
      <c r="I26" s="42"/>
      <c r="J26" s="42"/>
      <c r="K26" s="42"/>
      <c r="L26" s="42"/>
      <c r="M26" s="42"/>
      <c r="N26" s="42"/>
      <c r="O26" s="42"/>
      <c r="P26" s="42"/>
      <c r="Q26" s="42"/>
    </row>
    <row r="27" spans="1:17" ht="19.95" customHeight="1">
      <c r="A27" s="32"/>
      <c r="B27" s="32"/>
      <c r="C27" s="32"/>
      <c r="D27" s="32"/>
      <c r="E27" s="32"/>
      <c r="F27" s="32"/>
      <c r="G27" s="32"/>
      <c r="H27" s="32"/>
      <c r="I27" s="32"/>
      <c r="J27" s="32"/>
      <c r="K27" s="32"/>
      <c r="L27" s="32"/>
      <c r="M27" s="32"/>
      <c r="N27" s="32"/>
      <c r="O27" s="32"/>
      <c r="P27" s="32"/>
      <c r="Q27" s="32"/>
    </row>
    <row r="28" spans="1:17" ht="28.05" customHeight="1">
      <c r="A28" s="32"/>
      <c r="B28" s="32"/>
      <c r="C28" s="43" t="s">
        <v>708</v>
      </c>
      <c r="D28" s="43"/>
      <c r="E28" s="43"/>
      <c r="F28" s="43"/>
      <c r="G28" s="43"/>
      <c r="H28" s="43"/>
      <c r="I28" s="43"/>
      <c r="J28" s="43"/>
      <c r="K28" s="43"/>
      <c r="L28" s="43"/>
      <c r="M28" s="43"/>
      <c r="N28" s="43"/>
      <c r="O28" s="43"/>
      <c r="P28" s="43"/>
      <c r="Q28" s="43"/>
    </row>
    <row r="29" spans="1:17" ht="19.95" customHeight="1">
      <c r="A29" s="32"/>
      <c r="B29" s="32"/>
      <c r="C29" s="52" t="s">
        <v>709</v>
      </c>
      <c r="D29" s="52"/>
      <c r="E29" s="52"/>
      <c r="F29" s="52"/>
      <c r="G29" s="52"/>
      <c r="H29" s="52"/>
      <c r="I29" s="52"/>
      <c r="J29" s="32"/>
      <c r="K29" s="53" t="s">
        <v>710</v>
      </c>
      <c r="L29" s="53"/>
      <c r="M29" s="53"/>
      <c r="N29" s="53"/>
      <c r="O29" s="53"/>
      <c r="P29" s="53"/>
      <c r="Q29" s="53"/>
    </row>
    <row r="30" spans="1:17" ht="19.95" customHeight="1">
      <c r="A30" s="32"/>
      <c r="B30" s="32"/>
      <c r="C30" s="54" t="s">
        <v>711</v>
      </c>
      <c r="D30" s="54"/>
      <c r="E30" s="54"/>
      <c r="F30" s="54"/>
      <c r="G30" s="54"/>
      <c r="H30" s="54"/>
      <c r="I30" s="54"/>
      <c r="J30" s="32"/>
      <c r="K30" s="55" t="str">
        <f>IF(LEN(C30)=0,"[작성 필요]",C30)</f>
        <v>생리 전후 불편감 때문에 온열·마사지 등 셀프케어를 하는 성인 여성 중, 손으로 발목의 같은 부위를 반복해서 누르는 방식이 번거롭고 위치·압박 강도를 일정하게 유지하기 어렵다는 고객 가설을 검증한다. 기존 대안은 손 지압, 온열팩, 저주파 기기, 일반 마사지기 등이다. 생리 지연·불순 개선은 원안의 문제의식이며, 본 제품의 효과로 입증된 사실은 아니다.</v>
      </c>
      <c r="L30" s="55"/>
      <c r="M30" s="55"/>
      <c r="N30" s="55"/>
      <c r="O30" s="55"/>
      <c r="P30" s="55"/>
      <c r="Q30" s="55"/>
    </row>
    <row r="31" spans="1:17" ht="19.95" customHeight="1">
      <c r="A31" s="32"/>
      <c r="B31" s="32"/>
      <c r="C31" s="54"/>
      <c r="D31" s="54"/>
      <c r="E31" s="54"/>
      <c r="F31" s="54"/>
      <c r="G31" s="54"/>
      <c r="H31" s="54"/>
      <c r="I31" s="54"/>
      <c r="J31" s="32"/>
      <c r="K31" s="55"/>
      <c r="L31" s="55"/>
      <c r="M31" s="55"/>
      <c r="N31" s="55"/>
      <c r="O31" s="55"/>
      <c r="P31" s="55"/>
      <c r="Q31" s="55"/>
    </row>
    <row r="32" spans="1:17" ht="19.95" customHeight="1">
      <c r="A32" s="32"/>
      <c r="B32" s="32"/>
      <c r="C32" s="54"/>
      <c r="D32" s="54"/>
      <c r="E32" s="54"/>
      <c r="F32" s="54"/>
      <c r="G32" s="54"/>
      <c r="H32" s="54"/>
      <c r="I32" s="54"/>
      <c r="J32" s="32"/>
      <c r="K32" s="55"/>
      <c r="L32" s="55"/>
      <c r="M32" s="55"/>
      <c r="N32" s="55"/>
      <c r="O32" s="55"/>
      <c r="P32" s="55"/>
      <c r="Q32" s="55"/>
    </row>
    <row r="33" spans="1:17" ht="19.95" customHeight="1">
      <c r="A33" s="32"/>
      <c r="B33" s="32"/>
      <c r="C33" s="54"/>
      <c r="D33" s="54"/>
      <c r="E33" s="54"/>
      <c r="F33" s="54"/>
      <c r="G33" s="54"/>
      <c r="H33" s="54"/>
      <c r="I33" s="54"/>
      <c r="J33" s="32"/>
      <c r="K33" s="55"/>
      <c r="L33" s="55"/>
      <c r="M33" s="55"/>
      <c r="N33" s="55"/>
      <c r="O33" s="55"/>
      <c r="P33" s="55"/>
      <c r="Q33" s="55"/>
    </row>
    <row r="34" spans="1:17" ht="19.95" customHeight="1">
      <c r="A34" s="32"/>
      <c r="B34" s="32"/>
      <c r="C34" s="54"/>
      <c r="D34" s="54"/>
      <c r="E34" s="54"/>
      <c r="F34" s="54"/>
      <c r="G34" s="54"/>
      <c r="H34" s="54"/>
      <c r="I34" s="54"/>
      <c r="J34" s="32"/>
      <c r="K34" s="55"/>
      <c r="L34" s="55"/>
      <c r="M34" s="55"/>
      <c r="N34" s="55"/>
      <c r="O34" s="55"/>
      <c r="P34" s="55"/>
      <c r="Q34" s="55"/>
    </row>
    <row r="35" spans="1:17" ht="19.95" customHeight="1">
      <c r="A35" s="32"/>
      <c r="B35" s="32"/>
      <c r="C35" s="54"/>
      <c r="D35" s="54"/>
      <c r="E35" s="54"/>
      <c r="F35" s="54"/>
      <c r="G35" s="54"/>
      <c r="H35" s="54"/>
      <c r="I35" s="54"/>
      <c r="J35" s="32"/>
      <c r="K35" s="55"/>
      <c r="L35" s="55"/>
      <c r="M35" s="55"/>
      <c r="N35" s="55"/>
      <c r="O35" s="55"/>
      <c r="P35" s="55"/>
      <c r="Q35" s="55"/>
    </row>
    <row r="36" spans="1:17" ht="19.95" customHeight="1">
      <c r="A36" s="32"/>
      <c r="B36" s="32"/>
      <c r="C36" s="54"/>
      <c r="D36" s="54"/>
      <c r="E36" s="54"/>
      <c r="F36" s="54"/>
      <c r="G36" s="54"/>
      <c r="H36" s="54"/>
      <c r="I36" s="54"/>
      <c r="J36" s="32"/>
      <c r="K36" s="55"/>
      <c r="L36" s="55"/>
      <c r="M36" s="55"/>
      <c r="N36" s="55"/>
      <c r="O36" s="55"/>
      <c r="P36" s="55"/>
      <c r="Q36" s="55"/>
    </row>
    <row r="37" spans="1:17" ht="19.95" customHeight="1">
      <c r="A37" s="32"/>
      <c r="B37" s="32"/>
      <c r="C37" s="54"/>
      <c r="D37" s="54"/>
      <c r="E37" s="54"/>
      <c r="F37" s="54"/>
      <c r="G37" s="54"/>
      <c r="H37" s="54"/>
      <c r="I37" s="54"/>
      <c r="J37" s="32"/>
      <c r="K37" s="55"/>
      <c r="L37" s="55"/>
      <c r="M37" s="55"/>
      <c r="N37" s="55"/>
      <c r="O37" s="55"/>
      <c r="P37" s="55"/>
      <c r="Q37" s="55"/>
    </row>
    <row r="38" spans="1:17" ht="19.95" customHeight="1">
      <c r="A38" s="32"/>
      <c r="B38" s="32"/>
      <c r="C38" s="45" t="s">
        <v>712</v>
      </c>
      <c r="D38" s="45"/>
      <c r="E38" s="45"/>
      <c r="F38" s="45"/>
      <c r="G38" s="45"/>
      <c r="H38" s="45"/>
      <c r="I38" s="45"/>
      <c r="J38" s="45"/>
      <c r="K38" s="45"/>
      <c r="L38" s="45"/>
      <c r="M38" s="45"/>
      <c r="N38" s="45"/>
      <c r="O38" s="45"/>
      <c r="P38" s="45"/>
      <c r="Q38" s="45"/>
    </row>
    <row r="39" spans="1:17" ht="19.95" customHeight="1">
      <c r="A39" s="32"/>
      <c r="B39" s="32"/>
      <c r="C39" s="45"/>
      <c r="D39" s="45"/>
      <c r="E39" s="45"/>
      <c r="F39" s="45"/>
      <c r="G39" s="45"/>
      <c r="H39" s="45"/>
      <c r="I39" s="45"/>
      <c r="J39" s="45"/>
      <c r="K39" s="45"/>
      <c r="L39" s="45"/>
      <c r="M39" s="45"/>
      <c r="N39" s="45"/>
      <c r="O39" s="45"/>
      <c r="P39" s="45"/>
      <c r="Q39" s="45"/>
    </row>
    <row r="40" spans="1:17" ht="19.95" customHeight="1">
      <c r="A40" s="32"/>
      <c r="B40" s="32"/>
      <c r="C40" s="32"/>
      <c r="D40" s="32"/>
      <c r="E40" s="32"/>
      <c r="F40" s="32"/>
      <c r="G40" s="32"/>
      <c r="H40" s="32"/>
      <c r="I40" s="32"/>
      <c r="J40" s="32"/>
      <c r="K40" s="32"/>
      <c r="L40" s="32"/>
      <c r="M40" s="32"/>
      <c r="N40" s="32"/>
      <c r="O40" s="32"/>
      <c r="P40" s="32"/>
      <c r="Q40" s="32"/>
    </row>
    <row r="41" spans="1:17" ht="28.05" customHeight="1">
      <c r="A41" s="32"/>
      <c r="B41" s="32"/>
      <c r="C41" s="43" t="s">
        <v>713</v>
      </c>
      <c r="D41" s="43"/>
      <c r="E41" s="43"/>
      <c r="F41" s="43"/>
      <c r="G41" s="43"/>
      <c r="H41" s="43"/>
      <c r="I41" s="43"/>
      <c r="J41" s="43"/>
      <c r="K41" s="43"/>
      <c r="L41" s="43"/>
      <c r="M41" s="43"/>
      <c r="N41" s="43"/>
      <c r="O41" s="43"/>
      <c r="P41" s="43"/>
      <c r="Q41" s="43"/>
    </row>
    <row r="42" spans="1:17" ht="19.95" customHeight="1">
      <c r="A42" s="32"/>
      <c r="B42" s="32"/>
      <c r="C42" s="52" t="s">
        <v>709</v>
      </c>
      <c r="D42" s="52"/>
      <c r="E42" s="52"/>
      <c r="F42" s="52"/>
      <c r="G42" s="52"/>
      <c r="H42" s="52"/>
      <c r="I42" s="52"/>
      <c r="J42" s="32"/>
      <c r="K42" s="53" t="s">
        <v>710</v>
      </c>
      <c r="L42" s="53"/>
      <c r="M42" s="53"/>
      <c r="N42" s="53"/>
      <c r="O42" s="53"/>
      <c r="P42" s="53"/>
      <c r="Q42" s="53"/>
    </row>
    <row r="43" spans="1:17" ht="19.95" customHeight="1">
      <c r="A43" s="32"/>
      <c r="B43" s="32"/>
      <c r="C43" s="54" t="s">
        <v>714</v>
      </c>
      <c r="D43" s="54"/>
      <c r="E43" s="54"/>
      <c r="F43" s="54"/>
      <c r="G43" s="54"/>
      <c r="H43" s="54"/>
      <c r="I43" s="54"/>
      <c r="J43" s="32"/>
      <c r="K43" s="55" t="str">
        <f>IF(LEN(C43)=0,"[작성 필요]",C43)</f>
        <v>초기 고객은 생리 전후 불편감으로 온열·마사지 제품을 이미 사용하며, 집이나 사무실에서 앉아 있는 동안 짧은 셀프케어를 원하는 성인 여성으로 설정한다. 모든 여성을 한 번에 대상으로 삼기보다, 기존 대안에 시간·비용을 쓰고 반복 사용 의사가 있는 고객부터 검증한다. 구매자·사용자·사용 상황과 가격 수용도를 인터뷰로 구체화한다.</v>
      </c>
      <c r="L43" s="55"/>
      <c r="M43" s="55"/>
      <c r="N43" s="55"/>
      <c r="O43" s="55"/>
      <c r="P43" s="55"/>
      <c r="Q43" s="55"/>
    </row>
    <row r="44" spans="1:17" ht="19.95" customHeight="1">
      <c r="A44" s="32"/>
      <c r="B44" s="32"/>
      <c r="C44" s="54"/>
      <c r="D44" s="54"/>
      <c r="E44" s="54"/>
      <c r="F44" s="54"/>
      <c r="G44" s="54"/>
      <c r="H44" s="54"/>
      <c r="I44" s="54"/>
      <c r="J44" s="32"/>
      <c r="K44" s="55"/>
      <c r="L44" s="55"/>
      <c r="M44" s="55"/>
      <c r="N44" s="55"/>
      <c r="O44" s="55"/>
      <c r="P44" s="55"/>
      <c r="Q44" s="55"/>
    </row>
    <row r="45" spans="1:17" ht="19.95" customHeight="1">
      <c r="A45" s="32"/>
      <c r="B45" s="32"/>
      <c r="C45" s="54"/>
      <c r="D45" s="54"/>
      <c r="E45" s="54"/>
      <c r="F45" s="54"/>
      <c r="G45" s="54"/>
      <c r="H45" s="54"/>
      <c r="I45" s="54"/>
      <c r="J45" s="32"/>
      <c r="K45" s="55"/>
      <c r="L45" s="55"/>
      <c r="M45" s="55"/>
      <c r="N45" s="55"/>
      <c r="O45" s="55"/>
      <c r="P45" s="55"/>
      <c r="Q45" s="55"/>
    </row>
    <row r="46" spans="1:17" ht="19.95" customHeight="1">
      <c r="A46" s="32"/>
      <c r="B46" s="32"/>
      <c r="C46" s="54"/>
      <c r="D46" s="54"/>
      <c r="E46" s="54"/>
      <c r="F46" s="54"/>
      <c r="G46" s="54"/>
      <c r="H46" s="54"/>
      <c r="I46" s="54"/>
      <c r="J46" s="32"/>
      <c r="K46" s="55"/>
      <c r="L46" s="55"/>
      <c r="M46" s="55"/>
      <c r="N46" s="55"/>
      <c r="O46" s="55"/>
      <c r="P46" s="55"/>
      <c r="Q46" s="55"/>
    </row>
    <row r="47" spans="1:17" ht="19.95" customHeight="1">
      <c r="A47" s="32"/>
      <c r="B47" s="32"/>
      <c r="C47" s="54"/>
      <c r="D47" s="54"/>
      <c r="E47" s="54"/>
      <c r="F47" s="54"/>
      <c r="G47" s="54"/>
      <c r="H47" s="54"/>
      <c r="I47" s="54"/>
      <c r="J47" s="32"/>
      <c r="K47" s="55"/>
      <c r="L47" s="55"/>
      <c r="M47" s="55"/>
      <c r="N47" s="55"/>
      <c r="O47" s="55"/>
      <c r="P47" s="55"/>
      <c r="Q47" s="55"/>
    </row>
    <row r="48" spans="1:17" ht="19.95" customHeight="1">
      <c r="A48" s="32"/>
      <c r="B48" s="32"/>
      <c r="C48" s="54"/>
      <c r="D48" s="54"/>
      <c r="E48" s="54"/>
      <c r="F48" s="54"/>
      <c r="G48" s="54"/>
      <c r="H48" s="54"/>
      <c r="I48" s="54"/>
      <c r="J48" s="32"/>
      <c r="K48" s="55"/>
      <c r="L48" s="55"/>
      <c r="M48" s="55"/>
      <c r="N48" s="55"/>
      <c r="O48" s="55"/>
      <c r="P48" s="55"/>
      <c r="Q48" s="55"/>
    </row>
    <row r="49" spans="1:17" ht="19.95" customHeight="1">
      <c r="A49" s="32"/>
      <c r="B49" s="32"/>
      <c r="C49" s="54"/>
      <c r="D49" s="54"/>
      <c r="E49" s="54"/>
      <c r="F49" s="54"/>
      <c r="G49" s="54"/>
      <c r="H49" s="54"/>
      <c r="I49" s="54"/>
      <c r="J49" s="32"/>
      <c r="K49" s="55"/>
      <c r="L49" s="55"/>
      <c r="M49" s="55"/>
      <c r="N49" s="55"/>
      <c r="O49" s="55"/>
      <c r="P49" s="55"/>
      <c r="Q49" s="55"/>
    </row>
    <row r="50" spans="1:17" ht="19.95" customHeight="1">
      <c r="A50" s="32"/>
      <c r="B50" s="32"/>
      <c r="C50" s="45" t="s">
        <v>715</v>
      </c>
      <c r="D50" s="45"/>
      <c r="E50" s="45"/>
      <c r="F50" s="45"/>
      <c r="G50" s="45"/>
      <c r="H50" s="45"/>
      <c r="I50" s="45"/>
      <c r="J50" s="45"/>
      <c r="K50" s="45"/>
      <c r="L50" s="45"/>
      <c r="M50" s="45"/>
      <c r="N50" s="45"/>
      <c r="O50" s="45"/>
      <c r="P50" s="45"/>
      <c r="Q50" s="45"/>
    </row>
    <row r="51" spans="1:17" ht="19.95" customHeight="1">
      <c r="A51" s="32"/>
      <c r="B51" s="32"/>
      <c r="C51" s="45"/>
      <c r="D51" s="45"/>
      <c r="E51" s="45"/>
      <c r="F51" s="45"/>
      <c r="G51" s="45"/>
      <c r="H51" s="45"/>
      <c r="I51" s="45"/>
      <c r="J51" s="45"/>
      <c r="K51" s="45"/>
      <c r="L51" s="45"/>
      <c r="M51" s="45"/>
      <c r="N51" s="45"/>
      <c r="O51" s="45"/>
      <c r="P51" s="45"/>
      <c r="Q51" s="45"/>
    </row>
    <row r="52" spans="1:17" ht="19.95" customHeight="1">
      <c r="A52" s="32"/>
      <c r="B52" s="32"/>
      <c r="C52" s="32"/>
      <c r="D52" s="32"/>
      <c r="E52" s="32"/>
      <c r="F52" s="32"/>
      <c r="G52" s="32"/>
      <c r="H52" s="32"/>
      <c r="I52" s="32"/>
      <c r="J52" s="32"/>
      <c r="K52" s="32"/>
      <c r="L52" s="32"/>
      <c r="M52" s="32"/>
      <c r="N52" s="32"/>
      <c r="O52" s="32"/>
      <c r="P52" s="32"/>
      <c r="Q52" s="32"/>
    </row>
    <row r="53" spans="1:17" ht="28.05" customHeight="1">
      <c r="A53" s="32"/>
      <c r="B53" s="32"/>
      <c r="C53" s="43" t="s">
        <v>716</v>
      </c>
      <c r="D53" s="43"/>
      <c r="E53" s="43"/>
      <c r="F53" s="43"/>
      <c r="G53" s="43"/>
      <c r="H53" s="43"/>
      <c r="I53" s="43"/>
      <c r="J53" s="43"/>
      <c r="K53" s="43"/>
      <c r="L53" s="43"/>
      <c r="M53" s="43"/>
      <c r="N53" s="43"/>
      <c r="O53" s="43"/>
      <c r="P53" s="43"/>
      <c r="Q53" s="43"/>
    </row>
    <row r="54" spans="1:17" ht="19.95" customHeight="1">
      <c r="A54" s="32"/>
      <c r="B54" s="32"/>
      <c r="C54" s="52" t="s">
        <v>709</v>
      </c>
      <c r="D54" s="52"/>
      <c r="E54" s="52"/>
      <c r="F54" s="52"/>
      <c r="G54" s="52"/>
      <c r="H54" s="52"/>
      <c r="I54" s="52"/>
      <c r="J54" s="32"/>
      <c r="K54" s="53" t="s">
        <v>710</v>
      </c>
      <c r="L54" s="53"/>
      <c r="M54" s="53"/>
      <c r="N54" s="53"/>
      <c r="O54" s="53"/>
      <c r="P54" s="53"/>
      <c r="Q54" s="53"/>
    </row>
    <row r="55" spans="1:17" ht="19.95" customHeight="1">
      <c r="A55" s="32"/>
      <c r="B55" s="32"/>
      <c r="C55" s="54" t="s">
        <v>717</v>
      </c>
      <c r="D55" s="54"/>
      <c r="E55" s="54"/>
      <c r="F55" s="54"/>
      <c r="G55" s="54"/>
      <c r="H55" s="54"/>
      <c r="I55" s="54"/>
      <c r="J55" s="32"/>
      <c r="K55" s="55" t="str">
        <f>IF(LEN(C55)=0,"[작성 필요]",C55)</f>
        <v>손으로 계속 누르지 않아도 발목 셀프케어를 반복할 수 있도록, 착용 위치 안내와 온열·공기압 기능을 결합한 사용 경험을 제공하고자 한다. 핵심 가치는 짧은 시간 안에 간편하게 착용·사용하는 편의성이다. 생리주기 정상화나 치료 효과를 약속하지 않으며, 지불 의사와 실제 사용 편의성을 우선 확인한다.</v>
      </c>
      <c r="L55" s="55"/>
      <c r="M55" s="55"/>
      <c r="N55" s="55"/>
      <c r="O55" s="55"/>
      <c r="P55" s="55"/>
      <c r="Q55" s="55"/>
    </row>
    <row r="56" spans="1:17" ht="19.95" customHeight="1">
      <c r="A56" s="32"/>
      <c r="B56" s="32"/>
      <c r="C56" s="54"/>
      <c r="D56" s="54"/>
      <c r="E56" s="54"/>
      <c r="F56" s="54"/>
      <c r="G56" s="54"/>
      <c r="H56" s="54"/>
      <c r="I56" s="54"/>
      <c r="J56" s="32"/>
      <c r="K56" s="55"/>
      <c r="L56" s="55"/>
      <c r="M56" s="55"/>
      <c r="N56" s="55"/>
      <c r="O56" s="55"/>
      <c r="P56" s="55"/>
      <c r="Q56" s="55"/>
    </row>
    <row r="57" spans="1:17" ht="19.95" customHeight="1">
      <c r="A57" s="32"/>
      <c r="B57" s="32"/>
      <c r="C57" s="54"/>
      <c r="D57" s="54"/>
      <c r="E57" s="54"/>
      <c r="F57" s="54"/>
      <c r="G57" s="54"/>
      <c r="H57" s="54"/>
      <c r="I57" s="54"/>
      <c r="J57" s="32"/>
      <c r="K57" s="55"/>
      <c r="L57" s="55"/>
      <c r="M57" s="55"/>
      <c r="N57" s="55"/>
      <c r="O57" s="55"/>
      <c r="P57" s="55"/>
      <c r="Q57" s="55"/>
    </row>
    <row r="58" spans="1:17" ht="19.95" customHeight="1">
      <c r="A58" s="32"/>
      <c r="B58" s="32"/>
      <c r="C58" s="54"/>
      <c r="D58" s="54"/>
      <c r="E58" s="54"/>
      <c r="F58" s="54"/>
      <c r="G58" s="54"/>
      <c r="H58" s="54"/>
      <c r="I58" s="54"/>
      <c r="J58" s="32"/>
      <c r="K58" s="55"/>
      <c r="L58" s="55"/>
      <c r="M58" s="55"/>
      <c r="N58" s="55"/>
      <c r="O58" s="55"/>
      <c r="P58" s="55"/>
      <c r="Q58" s="55"/>
    </row>
    <row r="59" spans="1:17" ht="19.95" customHeight="1">
      <c r="A59" s="32"/>
      <c r="B59" s="32"/>
      <c r="C59" s="54"/>
      <c r="D59" s="54"/>
      <c r="E59" s="54"/>
      <c r="F59" s="54"/>
      <c r="G59" s="54"/>
      <c r="H59" s="54"/>
      <c r="I59" s="54"/>
      <c r="J59" s="32"/>
      <c r="K59" s="55"/>
      <c r="L59" s="55"/>
      <c r="M59" s="55"/>
      <c r="N59" s="55"/>
      <c r="O59" s="55"/>
      <c r="P59" s="55"/>
      <c r="Q59" s="55"/>
    </row>
    <row r="60" spans="1:17" ht="19.95" customHeight="1">
      <c r="A60" s="32"/>
      <c r="B60" s="32"/>
      <c r="C60" s="54"/>
      <c r="D60" s="54"/>
      <c r="E60" s="54"/>
      <c r="F60" s="54"/>
      <c r="G60" s="54"/>
      <c r="H60" s="54"/>
      <c r="I60" s="54"/>
      <c r="J60" s="32"/>
      <c r="K60" s="55"/>
      <c r="L60" s="55"/>
      <c r="M60" s="55"/>
      <c r="N60" s="55"/>
      <c r="O60" s="55"/>
      <c r="P60" s="55"/>
      <c r="Q60" s="55"/>
    </row>
    <row r="61" spans="1:17" ht="19.95" customHeight="1">
      <c r="A61" s="32"/>
      <c r="B61" s="32"/>
      <c r="C61" s="54"/>
      <c r="D61" s="54"/>
      <c r="E61" s="54"/>
      <c r="F61" s="54"/>
      <c r="G61" s="54"/>
      <c r="H61" s="54"/>
      <c r="I61" s="54"/>
      <c r="J61" s="32"/>
      <c r="K61" s="55"/>
      <c r="L61" s="55"/>
      <c r="M61" s="55"/>
      <c r="N61" s="55"/>
      <c r="O61" s="55"/>
      <c r="P61" s="55"/>
      <c r="Q61" s="55"/>
    </row>
    <row r="62" spans="1:17" ht="19.95" customHeight="1">
      <c r="A62" s="32"/>
      <c r="B62" s="32"/>
      <c r="C62" s="45" t="s">
        <v>718</v>
      </c>
      <c r="D62" s="45"/>
      <c r="E62" s="45"/>
      <c r="F62" s="45"/>
      <c r="G62" s="45"/>
      <c r="H62" s="45"/>
      <c r="I62" s="45"/>
      <c r="J62" s="45"/>
      <c r="K62" s="45"/>
      <c r="L62" s="45"/>
      <c r="M62" s="45"/>
      <c r="N62" s="45"/>
      <c r="O62" s="45"/>
      <c r="P62" s="45"/>
      <c r="Q62" s="45"/>
    </row>
    <row r="63" spans="1:17" ht="19.95" customHeight="1">
      <c r="A63" s="32"/>
      <c r="B63" s="32"/>
      <c r="C63" s="45"/>
      <c r="D63" s="45"/>
      <c r="E63" s="45"/>
      <c r="F63" s="45"/>
      <c r="G63" s="45"/>
      <c r="H63" s="45"/>
      <c r="I63" s="45"/>
      <c r="J63" s="45"/>
      <c r="K63" s="45"/>
      <c r="L63" s="45"/>
      <c r="M63" s="45"/>
      <c r="N63" s="45"/>
      <c r="O63" s="45"/>
      <c r="P63" s="45"/>
      <c r="Q63" s="45"/>
    </row>
    <row r="64" spans="1:17" ht="19.95" customHeight="1">
      <c r="A64" s="32"/>
      <c r="B64" s="32"/>
      <c r="C64" s="32"/>
      <c r="D64" s="32"/>
      <c r="E64" s="32"/>
      <c r="F64" s="32"/>
      <c r="G64" s="32"/>
      <c r="H64" s="32"/>
      <c r="I64" s="32"/>
      <c r="J64" s="32"/>
      <c r="K64" s="32"/>
      <c r="L64" s="32"/>
      <c r="M64" s="32"/>
      <c r="N64" s="32"/>
      <c r="O64" s="32"/>
      <c r="P64" s="32"/>
      <c r="Q64" s="32"/>
    </row>
    <row r="65" spans="1:17" ht="28.05" customHeight="1">
      <c r="A65" s="32"/>
      <c r="B65" s="32"/>
      <c r="C65" s="43" t="s">
        <v>719</v>
      </c>
      <c r="D65" s="43"/>
      <c r="E65" s="43"/>
      <c r="F65" s="43"/>
      <c r="G65" s="43"/>
      <c r="H65" s="43"/>
      <c r="I65" s="43"/>
      <c r="J65" s="43"/>
      <c r="K65" s="43"/>
      <c r="L65" s="43"/>
      <c r="M65" s="43"/>
      <c r="N65" s="43"/>
      <c r="O65" s="43"/>
      <c r="P65" s="43"/>
      <c r="Q65" s="43"/>
    </row>
    <row r="66" spans="1:17" ht="19.95" customHeight="1">
      <c r="A66" s="32"/>
      <c r="B66" s="32"/>
      <c r="C66" s="52" t="s">
        <v>709</v>
      </c>
      <c r="D66" s="52"/>
      <c r="E66" s="52"/>
      <c r="F66" s="52"/>
      <c r="G66" s="52"/>
      <c r="H66" s="52"/>
      <c r="I66" s="52"/>
      <c r="J66" s="32"/>
      <c r="K66" s="53" t="s">
        <v>710</v>
      </c>
      <c r="L66" s="53"/>
      <c r="M66" s="53"/>
      <c r="N66" s="53"/>
      <c r="O66" s="53"/>
      <c r="P66" s="53"/>
      <c r="Q66" s="53"/>
    </row>
    <row r="67" spans="1:17" ht="19.95" customHeight="1">
      <c r="A67" s="32"/>
      <c r="B67" s="32"/>
      <c r="C67" s="54" t="s">
        <v>720</v>
      </c>
      <c r="D67" s="54"/>
      <c r="E67" s="54"/>
      <c r="F67" s="54"/>
      <c r="G67" s="54"/>
      <c r="H67" s="54"/>
      <c r="I67" s="54"/>
      <c r="J67" s="32"/>
      <c r="K67" s="55" t="str">
        <f>IF(LEN(C67)=0,"[작성 필요]",C67)</f>
        <v>황토 반구형 교체 패치와 발목 착용형 온열·공기압 기기를 결합하는 제품을 구상한다. 원안의 SP6·KI6·KI3 위치를 참고한 부착 안내와 작동 제어를 시제품에서 검토한다. 온도·압박·사용 시간은 안전성 검증 후 확정하고, 패치 부착성·피부 반응·착용성·반복 사용성을 먼저 시험한다. 초기 검증 결과에 따라 기능과 제품 구성을 축소하거나 조정한다.</v>
      </c>
      <c r="L67" s="55"/>
      <c r="M67" s="55"/>
      <c r="N67" s="55"/>
      <c r="O67" s="55"/>
      <c r="P67" s="55"/>
      <c r="Q67" s="55"/>
    </row>
    <row r="68" spans="1:17" ht="19.95" customHeight="1">
      <c r="A68" s="32"/>
      <c r="B68" s="32"/>
      <c r="C68" s="54"/>
      <c r="D68" s="54"/>
      <c r="E68" s="54"/>
      <c r="F68" s="54"/>
      <c r="G68" s="54"/>
      <c r="H68" s="54"/>
      <c r="I68" s="54"/>
      <c r="J68" s="32"/>
      <c r="K68" s="55"/>
      <c r="L68" s="55"/>
      <c r="M68" s="55"/>
      <c r="N68" s="55"/>
      <c r="O68" s="55"/>
      <c r="P68" s="55"/>
      <c r="Q68" s="55"/>
    </row>
    <row r="69" spans="1:17" ht="19.95" customHeight="1">
      <c r="A69" s="32"/>
      <c r="B69" s="32"/>
      <c r="C69" s="54"/>
      <c r="D69" s="54"/>
      <c r="E69" s="54"/>
      <c r="F69" s="54"/>
      <c r="G69" s="54"/>
      <c r="H69" s="54"/>
      <c r="I69" s="54"/>
      <c r="J69" s="32"/>
      <c r="K69" s="55"/>
      <c r="L69" s="55"/>
      <c r="M69" s="55"/>
      <c r="N69" s="55"/>
      <c r="O69" s="55"/>
      <c r="P69" s="55"/>
      <c r="Q69" s="55"/>
    </row>
    <row r="70" spans="1:17" ht="19.95" customHeight="1">
      <c r="A70" s="32"/>
      <c r="B70" s="32"/>
      <c r="C70" s="54"/>
      <c r="D70" s="54"/>
      <c r="E70" s="54"/>
      <c r="F70" s="54"/>
      <c r="G70" s="54"/>
      <c r="H70" s="54"/>
      <c r="I70" s="54"/>
      <c r="J70" s="32"/>
      <c r="K70" s="55"/>
      <c r="L70" s="55"/>
      <c r="M70" s="55"/>
      <c r="N70" s="55"/>
      <c r="O70" s="55"/>
      <c r="P70" s="55"/>
      <c r="Q70" s="55"/>
    </row>
    <row r="71" spans="1:17" ht="19.95" customHeight="1">
      <c r="A71" s="32"/>
      <c r="B71" s="32"/>
      <c r="C71" s="54"/>
      <c r="D71" s="54"/>
      <c r="E71" s="54"/>
      <c r="F71" s="54"/>
      <c r="G71" s="54"/>
      <c r="H71" s="54"/>
      <c r="I71" s="54"/>
      <c r="J71" s="32"/>
      <c r="K71" s="55"/>
      <c r="L71" s="55"/>
      <c r="M71" s="55"/>
      <c r="N71" s="55"/>
      <c r="O71" s="55"/>
      <c r="P71" s="55"/>
      <c r="Q71" s="55"/>
    </row>
    <row r="72" spans="1:17" ht="19.95" customHeight="1">
      <c r="A72" s="32"/>
      <c r="B72" s="32"/>
      <c r="C72" s="54"/>
      <c r="D72" s="54"/>
      <c r="E72" s="54"/>
      <c r="F72" s="54"/>
      <c r="G72" s="54"/>
      <c r="H72" s="54"/>
      <c r="I72" s="54"/>
      <c r="J72" s="32"/>
      <c r="K72" s="55"/>
      <c r="L72" s="55"/>
      <c r="M72" s="55"/>
      <c r="N72" s="55"/>
      <c r="O72" s="55"/>
      <c r="P72" s="55"/>
      <c r="Q72" s="55"/>
    </row>
    <row r="73" spans="1:17" ht="19.95" customHeight="1">
      <c r="A73" s="32"/>
      <c r="B73" s="32"/>
      <c r="C73" s="54"/>
      <c r="D73" s="54"/>
      <c r="E73" s="54"/>
      <c r="F73" s="54"/>
      <c r="G73" s="54"/>
      <c r="H73" s="54"/>
      <c r="I73" s="54"/>
      <c r="J73" s="32"/>
      <c r="K73" s="55"/>
      <c r="L73" s="55"/>
      <c r="M73" s="55"/>
      <c r="N73" s="55"/>
      <c r="O73" s="55"/>
      <c r="P73" s="55"/>
      <c r="Q73" s="55"/>
    </row>
    <row r="74" spans="1:17" ht="19.95" customHeight="1">
      <c r="A74" s="32"/>
      <c r="B74" s="32"/>
      <c r="C74" s="54"/>
      <c r="D74" s="54"/>
      <c r="E74" s="54"/>
      <c r="F74" s="54"/>
      <c r="G74" s="54"/>
      <c r="H74" s="54"/>
      <c r="I74" s="54"/>
      <c r="J74" s="32"/>
      <c r="K74" s="55"/>
      <c r="L74" s="55"/>
      <c r="M74" s="55"/>
      <c r="N74" s="55"/>
      <c r="O74" s="55"/>
      <c r="P74" s="55"/>
      <c r="Q74" s="55"/>
    </row>
    <row r="75" spans="1:17" ht="19.95" customHeight="1">
      <c r="A75" s="32"/>
      <c r="B75" s="32"/>
      <c r="C75" s="45" t="s">
        <v>721</v>
      </c>
      <c r="D75" s="45"/>
      <c r="E75" s="45"/>
      <c r="F75" s="45"/>
      <c r="G75" s="45"/>
      <c r="H75" s="45"/>
      <c r="I75" s="45"/>
      <c r="J75" s="45"/>
      <c r="K75" s="45"/>
      <c r="L75" s="45"/>
      <c r="M75" s="45"/>
      <c r="N75" s="45"/>
      <c r="O75" s="45"/>
      <c r="P75" s="45"/>
      <c r="Q75" s="45"/>
    </row>
    <row r="76" spans="1:17" ht="19.95" customHeight="1">
      <c r="A76" s="32"/>
      <c r="B76" s="32"/>
      <c r="C76" s="45"/>
      <c r="D76" s="45"/>
      <c r="E76" s="45"/>
      <c r="F76" s="45"/>
      <c r="G76" s="45"/>
      <c r="H76" s="45"/>
      <c r="I76" s="45"/>
      <c r="J76" s="45"/>
      <c r="K76" s="45"/>
      <c r="L76" s="45"/>
      <c r="M76" s="45"/>
      <c r="N76" s="45"/>
      <c r="O76" s="45"/>
      <c r="P76" s="45"/>
      <c r="Q76" s="45"/>
    </row>
    <row r="77" spans="1:17" ht="19.95" customHeight="1">
      <c r="A77" s="32"/>
      <c r="B77" s="32"/>
      <c r="C77" s="32"/>
      <c r="D77" s="32"/>
      <c r="E77" s="32"/>
      <c r="F77" s="32"/>
      <c r="G77" s="32"/>
      <c r="H77" s="32"/>
      <c r="I77" s="32"/>
      <c r="J77" s="32"/>
      <c r="K77" s="32"/>
      <c r="L77" s="32"/>
      <c r="M77" s="32"/>
      <c r="N77" s="32"/>
      <c r="O77" s="32"/>
      <c r="P77" s="32"/>
      <c r="Q77" s="32"/>
    </row>
    <row r="78" spans="1:17" ht="28.05" customHeight="1">
      <c r="A78" s="32"/>
      <c r="B78" s="32"/>
      <c r="C78" s="43" t="s">
        <v>722</v>
      </c>
      <c r="D78" s="43"/>
      <c r="E78" s="43"/>
      <c r="F78" s="43"/>
      <c r="G78" s="43"/>
      <c r="H78" s="43"/>
      <c r="I78" s="43"/>
      <c r="J78" s="43"/>
      <c r="K78" s="43"/>
      <c r="L78" s="43"/>
      <c r="M78" s="43"/>
      <c r="N78" s="43"/>
      <c r="O78" s="43"/>
      <c r="P78" s="43"/>
      <c r="Q78" s="43"/>
    </row>
    <row r="79" spans="1:17" ht="19.95" customHeight="1">
      <c r="A79" s="32"/>
      <c r="B79" s="32"/>
      <c r="C79" s="52" t="s">
        <v>709</v>
      </c>
      <c r="D79" s="52"/>
      <c r="E79" s="52"/>
      <c r="F79" s="52"/>
      <c r="G79" s="52"/>
      <c r="H79" s="52"/>
      <c r="I79" s="52"/>
      <c r="J79" s="32"/>
      <c r="K79" s="53" t="s">
        <v>710</v>
      </c>
      <c r="L79" s="53"/>
      <c r="M79" s="53"/>
      <c r="N79" s="53"/>
      <c r="O79" s="53"/>
      <c r="P79" s="53"/>
      <c r="Q79" s="53"/>
    </row>
    <row r="80" spans="1:17" ht="19.95" customHeight="1">
      <c r="A80" s="32"/>
      <c r="B80" s="32"/>
      <c r="C80" s="54" t="s">
        <v>723</v>
      </c>
      <c r="D80" s="54"/>
      <c r="E80" s="54"/>
      <c r="F80" s="54"/>
      <c r="G80" s="54"/>
      <c r="H80" s="54"/>
      <c r="I80" s="54"/>
      <c r="J80" s="32"/>
      <c r="K80" s="55" t="str">
        <f>IF(LEN(C80)=0,"[작성 필요]",C80)</f>
        <v>현재 확인된 독점 특허·임상 데이터·독점 유통계약은 없다. 초기에는 착용 위치 안내, 압박·온열 제어와 안전 설계, 반복 사용·고객 피드백 데이터를 축적해 모방하기 어려운 사용 경험과 품질 관리 체계를 만드는 것이 목표다. 유통사 접점은 협의 기회로 다루며, 계약 또는 접근 가능한 고객을 이미 확보한 것으로 표현하지 않는다.</v>
      </c>
      <c r="L80" s="55"/>
      <c r="M80" s="55"/>
      <c r="N80" s="55"/>
      <c r="O80" s="55"/>
      <c r="P80" s="55"/>
      <c r="Q80" s="55"/>
    </row>
    <row r="81" spans="1:17" ht="19.95" customHeight="1">
      <c r="A81" s="32"/>
      <c r="B81" s="32"/>
      <c r="C81" s="54"/>
      <c r="D81" s="54"/>
      <c r="E81" s="54"/>
      <c r="F81" s="54"/>
      <c r="G81" s="54"/>
      <c r="H81" s="54"/>
      <c r="I81" s="54"/>
      <c r="J81" s="32"/>
      <c r="K81" s="55"/>
      <c r="L81" s="55"/>
      <c r="M81" s="55"/>
      <c r="N81" s="55"/>
      <c r="O81" s="55"/>
      <c r="P81" s="55"/>
      <c r="Q81" s="55"/>
    </row>
    <row r="82" spans="1:17" ht="19.95" customHeight="1">
      <c r="A82" s="32"/>
      <c r="B82" s="32"/>
      <c r="C82" s="54"/>
      <c r="D82" s="54"/>
      <c r="E82" s="54"/>
      <c r="F82" s="54"/>
      <c r="G82" s="54"/>
      <c r="H82" s="54"/>
      <c r="I82" s="54"/>
      <c r="J82" s="32"/>
      <c r="K82" s="55"/>
      <c r="L82" s="55"/>
      <c r="M82" s="55"/>
      <c r="N82" s="55"/>
      <c r="O82" s="55"/>
      <c r="P82" s="55"/>
      <c r="Q82" s="55"/>
    </row>
    <row r="83" spans="1:17" ht="19.95" customHeight="1">
      <c r="A83" s="32"/>
      <c r="B83" s="32"/>
      <c r="C83" s="54"/>
      <c r="D83" s="54"/>
      <c r="E83" s="54"/>
      <c r="F83" s="54"/>
      <c r="G83" s="54"/>
      <c r="H83" s="54"/>
      <c r="I83" s="54"/>
      <c r="J83" s="32"/>
      <c r="K83" s="55"/>
      <c r="L83" s="55"/>
      <c r="M83" s="55"/>
      <c r="N83" s="55"/>
      <c r="O83" s="55"/>
      <c r="P83" s="55"/>
      <c r="Q83" s="55"/>
    </row>
    <row r="84" spans="1:17" ht="19.95" customHeight="1">
      <c r="A84" s="32"/>
      <c r="B84" s="32"/>
      <c r="C84" s="54"/>
      <c r="D84" s="54"/>
      <c r="E84" s="54"/>
      <c r="F84" s="54"/>
      <c r="G84" s="54"/>
      <c r="H84" s="54"/>
      <c r="I84" s="54"/>
      <c r="J84" s="32"/>
      <c r="K84" s="55"/>
      <c r="L84" s="55"/>
      <c r="M84" s="55"/>
      <c r="N84" s="55"/>
      <c r="O84" s="55"/>
      <c r="P84" s="55"/>
      <c r="Q84" s="55"/>
    </row>
    <row r="85" spans="1:17" ht="19.95" customHeight="1">
      <c r="A85" s="32"/>
      <c r="B85" s="32"/>
      <c r="C85" s="54"/>
      <c r="D85" s="54"/>
      <c r="E85" s="54"/>
      <c r="F85" s="54"/>
      <c r="G85" s="54"/>
      <c r="H85" s="54"/>
      <c r="I85" s="54"/>
      <c r="J85" s="32"/>
      <c r="K85" s="55"/>
      <c r="L85" s="55"/>
      <c r="M85" s="55"/>
      <c r="N85" s="55"/>
      <c r="O85" s="55"/>
      <c r="P85" s="55"/>
      <c r="Q85" s="55"/>
    </row>
    <row r="86" spans="1:17" ht="19.95" customHeight="1">
      <c r="A86" s="32"/>
      <c r="B86" s="32"/>
      <c r="C86" s="54"/>
      <c r="D86" s="54"/>
      <c r="E86" s="54"/>
      <c r="F86" s="54"/>
      <c r="G86" s="54"/>
      <c r="H86" s="54"/>
      <c r="I86" s="54"/>
      <c r="J86" s="32"/>
      <c r="K86" s="55"/>
      <c r="L86" s="55"/>
      <c r="M86" s="55"/>
      <c r="N86" s="55"/>
      <c r="O86" s="55"/>
      <c r="P86" s="55"/>
      <c r="Q86" s="55"/>
    </row>
    <row r="87" spans="1:17" ht="19.95" customHeight="1">
      <c r="A87" s="32"/>
      <c r="B87" s="32"/>
      <c r="C87" s="45" t="s">
        <v>724</v>
      </c>
      <c r="D87" s="45"/>
      <c r="E87" s="45"/>
      <c r="F87" s="45"/>
      <c r="G87" s="45"/>
      <c r="H87" s="45"/>
      <c r="I87" s="45"/>
      <c r="J87" s="45"/>
      <c r="K87" s="45"/>
      <c r="L87" s="45"/>
      <c r="M87" s="45"/>
      <c r="N87" s="45"/>
      <c r="O87" s="45"/>
      <c r="P87" s="45"/>
      <c r="Q87" s="45"/>
    </row>
    <row r="88" spans="1:17" ht="19.95" customHeight="1">
      <c r="A88" s="32"/>
      <c r="B88" s="32"/>
      <c r="C88" s="45"/>
      <c r="D88" s="45"/>
      <c r="E88" s="45"/>
      <c r="F88" s="45"/>
      <c r="G88" s="45"/>
      <c r="H88" s="45"/>
      <c r="I88" s="45"/>
      <c r="J88" s="45"/>
      <c r="K88" s="45"/>
      <c r="L88" s="45"/>
      <c r="M88" s="45"/>
      <c r="N88" s="45"/>
      <c r="O88" s="45"/>
      <c r="P88" s="45"/>
      <c r="Q88" s="45"/>
    </row>
    <row r="89" spans="1:17" ht="19.95" customHeight="1">
      <c r="A89" s="32"/>
      <c r="B89" s="32"/>
      <c r="C89" s="32"/>
      <c r="D89" s="32"/>
      <c r="E89" s="32"/>
      <c r="F89" s="32"/>
      <c r="G89" s="32"/>
      <c r="H89" s="32"/>
      <c r="I89" s="32"/>
      <c r="J89" s="32"/>
      <c r="K89" s="32"/>
      <c r="L89" s="32"/>
      <c r="M89" s="32"/>
      <c r="N89" s="32"/>
      <c r="O89" s="32"/>
      <c r="P89" s="32"/>
      <c r="Q89" s="32"/>
    </row>
    <row r="90" spans="1:17" ht="28.05" customHeight="1">
      <c r="A90" s="32"/>
      <c r="B90" s="32"/>
      <c r="C90" s="43" t="s">
        <v>725</v>
      </c>
      <c r="D90" s="43"/>
      <c r="E90" s="43"/>
      <c r="F90" s="43"/>
      <c r="G90" s="43"/>
      <c r="H90" s="43"/>
      <c r="I90" s="43"/>
      <c r="J90" s="43"/>
      <c r="K90" s="43"/>
      <c r="L90" s="43"/>
      <c r="M90" s="43"/>
      <c r="N90" s="43"/>
      <c r="O90" s="43"/>
      <c r="P90" s="43"/>
      <c r="Q90" s="43"/>
    </row>
    <row r="91" spans="1:17" ht="19.95" customHeight="1">
      <c r="A91" s="32"/>
      <c r="B91" s="32"/>
      <c r="C91" s="52" t="s">
        <v>709</v>
      </c>
      <c r="D91" s="52"/>
      <c r="E91" s="52"/>
      <c r="F91" s="52"/>
      <c r="G91" s="52"/>
      <c r="H91" s="52"/>
      <c r="I91" s="52"/>
      <c r="J91" s="32"/>
      <c r="K91" s="53" t="s">
        <v>710</v>
      </c>
      <c r="L91" s="53"/>
      <c r="M91" s="53"/>
      <c r="N91" s="53"/>
      <c r="O91" s="53"/>
      <c r="P91" s="53"/>
      <c r="Q91" s="53"/>
    </row>
    <row r="92" spans="1:17" ht="19.95" customHeight="1">
      <c r="A92" s="32"/>
      <c r="B92" s="32"/>
      <c r="C92" s="54" t="s">
        <v>726</v>
      </c>
      <c r="D92" s="54"/>
      <c r="E92" s="54"/>
      <c r="F92" s="54"/>
      <c r="G92" s="54"/>
      <c r="H92" s="54"/>
      <c r="I92" s="54"/>
      <c r="J92" s="32"/>
      <c r="K92" s="56" t="str">
        <f>IF(LEN(C92)=0,"[작성 필요]",C92)&amp;" 선택 시나리오: "&amp;'01_가정'!H4&amp;". 1년차 본체 가격 "&amp;TEXT('01_가정'!F10,"#,##0")&amp;"원, 리필 가격 "&amp;TEXT('01_가정'!F70,"#,##0")&amp;"원. 1~3년차 본체 출고 "&amp;TEXT('03_월별손익'!F19,"#,##0")&amp;" / "&amp;TEXT('03_월별손익'!G19,"#,##0")&amp;" / "&amp;TEXT('03_월별손익'!H19,"#,##0")&amp;"개, 순매출 "&amp;TEXT('03_월별손익'!F33/1000000,"#,##0.0")&amp;" / "&amp;TEXT('03_월별손익'!G33/1000000,"#,##0.0")&amp;" / "&amp;TEXT('03_월별손익'!H33/1000000,"#,##0.0")&amp;"백만원을 예상한다. 순매출은 VAT 제외·환불 차감 기준이다."</f>
        <v>본체 판매와 교체 패치의 반복 구매를 수익원으로 설계한다. 초기에는 자사 온라인 판매를 우선하고, 패치 반복 구매는 별도 가정으로 검증한다. 아래 매출은 실적이나 확정 수주가 아닌 시뮬레이션이다. 선택 시나리오: 보수. 1년차 본체 가격 129,000원, 리필 가격 9,900원. 1~3년차 본체 출고 56 / 804 / 1,680개, 순매출 5.6 / 85.3 / 184.7백만원을 예상한다. 순매출은 VAT 제외·환불 차감 기준이다.</v>
      </c>
      <c r="L92" s="56"/>
      <c r="M92" s="56"/>
      <c r="N92" s="56"/>
      <c r="O92" s="56"/>
      <c r="P92" s="56"/>
      <c r="Q92" s="56"/>
    </row>
    <row r="93" spans="1:17" ht="19.95" customHeight="1">
      <c r="A93" s="32"/>
      <c r="B93" s="32"/>
      <c r="C93" s="54"/>
      <c r="D93" s="54"/>
      <c r="E93" s="54"/>
      <c r="F93" s="54"/>
      <c r="G93" s="54"/>
      <c r="H93" s="54"/>
      <c r="I93" s="54"/>
      <c r="J93" s="32"/>
      <c r="K93" s="56"/>
      <c r="L93" s="56"/>
      <c r="M93" s="56"/>
      <c r="N93" s="56"/>
      <c r="O93" s="56"/>
      <c r="P93" s="56"/>
      <c r="Q93" s="56"/>
    </row>
    <row r="94" spans="1:17" ht="19.95" customHeight="1">
      <c r="A94" s="32"/>
      <c r="B94" s="32"/>
      <c r="C94" s="54"/>
      <c r="D94" s="54"/>
      <c r="E94" s="54"/>
      <c r="F94" s="54"/>
      <c r="G94" s="54"/>
      <c r="H94" s="54"/>
      <c r="I94" s="54"/>
      <c r="J94" s="32"/>
      <c r="K94" s="56"/>
      <c r="L94" s="56"/>
      <c r="M94" s="56"/>
      <c r="N94" s="56"/>
      <c r="O94" s="56"/>
      <c r="P94" s="56"/>
      <c r="Q94" s="56"/>
    </row>
    <row r="95" spans="1:17" ht="19.95" customHeight="1">
      <c r="A95" s="32"/>
      <c r="B95" s="32"/>
      <c r="C95" s="54"/>
      <c r="D95" s="54"/>
      <c r="E95" s="54"/>
      <c r="F95" s="54"/>
      <c r="G95" s="54"/>
      <c r="H95" s="54"/>
      <c r="I95" s="54"/>
      <c r="J95" s="32"/>
      <c r="K95" s="56"/>
      <c r="L95" s="56"/>
      <c r="M95" s="56"/>
      <c r="N95" s="56"/>
      <c r="O95" s="56"/>
      <c r="P95" s="56"/>
      <c r="Q95" s="56"/>
    </row>
    <row r="96" spans="1:17" ht="19.95" customHeight="1">
      <c r="A96" s="32"/>
      <c r="B96" s="32"/>
      <c r="C96" s="54"/>
      <c r="D96" s="54"/>
      <c r="E96" s="54"/>
      <c r="F96" s="54"/>
      <c r="G96" s="54"/>
      <c r="H96" s="54"/>
      <c r="I96" s="54"/>
      <c r="J96" s="32"/>
      <c r="K96" s="56"/>
      <c r="L96" s="56"/>
      <c r="M96" s="56"/>
      <c r="N96" s="56"/>
      <c r="O96" s="56"/>
      <c r="P96" s="56"/>
      <c r="Q96" s="56"/>
    </row>
    <row r="97" spans="1:17" ht="19.95" customHeight="1">
      <c r="A97" s="32"/>
      <c r="B97" s="32"/>
      <c r="C97" s="54"/>
      <c r="D97" s="54"/>
      <c r="E97" s="54"/>
      <c r="F97" s="54"/>
      <c r="G97" s="54"/>
      <c r="H97" s="54"/>
      <c r="I97" s="54"/>
      <c r="J97" s="32"/>
      <c r="K97" s="56"/>
      <c r="L97" s="56"/>
      <c r="M97" s="56"/>
      <c r="N97" s="56"/>
      <c r="O97" s="56"/>
      <c r="P97" s="56"/>
      <c r="Q97" s="56"/>
    </row>
    <row r="98" spans="1:17" ht="19.95" customHeight="1">
      <c r="A98" s="32"/>
      <c r="B98" s="32"/>
      <c r="C98" s="54"/>
      <c r="D98" s="54"/>
      <c r="E98" s="54"/>
      <c r="F98" s="54"/>
      <c r="G98" s="54"/>
      <c r="H98" s="54"/>
      <c r="I98" s="54"/>
      <c r="J98" s="32"/>
      <c r="K98" s="56"/>
      <c r="L98" s="56"/>
      <c r="M98" s="56"/>
      <c r="N98" s="56"/>
      <c r="O98" s="56"/>
      <c r="P98" s="56"/>
      <c r="Q98" s="56"/>
    </row>
    <row r="99" spans="1:17" ht="19.95" customHeight="1">
      <c r="A99" s="32"/>
      <c r="B99" s="32"/>
      <c r="C99" s="54"/>
      <c r="D99" s="54"/>
      <c r="E99" s="54"/>
      <c r="F99" s="54"/>
      <c r="G99" s="54"/>
      <c r="H99" s="54"/>
      <c r="I99" s="54"/>
      <c r="J99" s="32"/>
      <c r="K99" s="56"/>
      <c r="L99" s="56"/>
      <c r="M99" s="56"/>
      <c r="N99" s="56"/>
      <c r="O99" s="56"/>
      <c r="P99" s="56"/>
      <c r="Q99" s="56"/>
    </row>
    <row r="100" spans="1:17" ht="19.95" customHeight="1">
      <c r="A100" s="32"/>
      <c r="B100" s="32"/>
      <c r="C100" s="54"/>
      <c r="D100" s="54"/>
      <c r="E100" s="54"/>
      <c r="F100" s="54"/>
      <c r="G100" s="54"/>
      <c r="H100" s="54"/>
      <c r="I100" s="54"/>
      <c r="J100" s="32"/>
      <c r="K100" s="56"/>
      <c r="L100" s="56"/>
      <c r="M100" s="56"/>
      <c r="N100" s="56"/>
      <c r="O100" s="56"/>
      <c r="P100" s="56"/>
      <c r="Q100" s="56"/>
    </row>
    <row r="101" spans="1:17" ht="19.95" customHeight="1">
      <c r="A101" s="32"/>
      <c r="B101" s="32"/>
      <c r="C101" s="54"/>
      <c r="D101" s="54"/>
      <c r="E101" s="54"/>
      <c r="F101" s="54"/>
      <c r="G101" s="54"/>
      <c r="H101" s="54"/>
      <c r="I101" s="54"/>
      <c r="J101" s="32"/>
      <c r="K101" s="56"/>
      <c r="L101" s="56"/>
      <c r="M101" s="56"/>
      <c r="N101" s="56"/>
      <c r="O101" s="56"/>
      <c r="P101" s="56"/>
      <c r="Q101" s="56"/>
    </row>
    <row r="102" spans="1:17" ht="19.95" customHeight="1">
      <c r="A102" s="32"/>
      <c r="B102" s="32"/>
      <c r="C102" s="54"/>
      <c r="D102" s="54"/>
      <c r="E102" s="54"/>
      <c r="F102" s="54"/>
      <c r="G102" s="54"/>
      <c r="H102" s="54"/>
      <c r="I102" s="54"/>
      <c r="J102" s="32"/>
      <c r="K102" s="56"/>
      <c r="L102" s="56"/>
      <c r="M102" s="56"/>
      <c r="N102" s="56"/>
      <c r="O102" s="56"/>
      <c r="P102" s="56"/>
      <c r="Q102" s="56"/>
    </row>
    <row r="103" spans="1:17" ht="19.95" customHeight="1">
      <c r="A103" s="32"/>
      <c r="B103" s="32"/>
      <c r="C103" s="45" t="s">
        <v>727</v>
      </c>
      <c r="D103" s="45"/>
      <c r="E103" s="45"/>
      <c r="F103" s="45"/>
      <c r="G103" s="45"/>
      <c r="H103" s="45"/>
      <c r="I103" s="45"/>
      <c r="J103" s="45"/>
      <c r="K103" s="45"/>
      <c r="L103" s="45"/>
      <c r="M103" s="45"/>
      <c r="N103" s="45"/>
      <c r="O103" s="45"/>
      <c r="P103" s="45"/>
      <c r="Q103" s="45"/>
    </row>
    <row r="104" spans="1:17" ht="19.95" customHeight="1">
      <c r="A104" s="32"/>
      <c r="B104" s="32"/>
      <c r="C104" s="45"/>
      <c r="D104" s="45"/>
      <c r="E104" s="45"/>
      <c r="F104" s="45"/>
      <c r="G104" s="45"/>
      <c r="H104" s="45"/>
      <c r="I104" s="45"/>
      <c r="J104" s="45"/>
      <c r="K104" s="45"/>
      <c r="L104" s="45"/>
      <c r="M104" s="45"/>
      <c r="N104" s="45"/>
      <c r="O104" s="45"/>
      <c r="P104" s="45"/>
      <c r="Q104" s="45"/>
    </row>
    <row r="105" spans="1:17" ht="19.95" customHeight="1">
      <c r="A105" s="32"/>
      <c r="B105" s="32"/>
      <c r="C105" s="32"/>
      <c r="D105" s="32"/>
      <c r="E105" s="32"/>
      <c r="F105" s="32"/>
      <c r="G105" s="32"/>
      <c r="H105" s="32"/>
      <c r="I105" s="32"/>
      <c r="J105" s="32"/>
      <c r="K105" s="32"/>
      <c r="L105" s="32"/>
      <c r="M105" s="32"/>
      <c r="N105" s="32"/>
      <c r="O105" s="32"/>
      <c r="P105" s="32"/>
      <c r="Q105" s="32"/>
    </row>
    <row r="106" spans="1:17" ht="28.05" customHeight="1">
      <c r="A106" s="32"/>
      <c r="B106" s="32"/>
      <c r="C106" s="43" t="s">
        <v>728</v>
      </c>
      <c r="D106" s="43"/>
      <c r="E106" s="43"/>
      <c r="F106" s="43"/>
      <c r="G106" s="43"/>
      <c r="H106" s="43"/>
      <c r="I106" s="43"/>
      <c r="J106" s="43"/>
      <c r="K106" s="43"/>
      <c r="L106" s="43"/>
      <c r="M106" s="43"/>
      <c r="N106" s="43"/>
      <c r="O106" s="43"/>
      <c r="P106" s="43"/>
      <c r="Q106" s="43"/>
    </row>
    <row r="107" spans="1:17" ht="19.95" customHeight="1">
      <c r="A107" s="32"/>
      <c r="B107" s="32"/>
      <c r="C107" s="52" t="s">
        <v>709</v>
      </c>
      <c r="D107" s="52"/>
      <c r="E107" s="52"/>
      <c r="F107" s="52"/>
      <c r="G107" s="52"/>
      <c r="H107" s="52"/>
      <c r="I107" s="52"/>
      <c r="J107" s="32"/>
      <c r="K107" s="53" t="s">
        <v>710</v>
      </c>
      <c r="L107" s="53"/>
      <c r="M107" s="53"/>
      <c r="N107" s="53"/>
      <c r="O107" s="53"/>
      <c r="P107" s="53"/>
      <c r="Q107" s="53"/>
    </row>
    <row r="108" spans="1:17" ht="19.95" customHeight="1">
      <c r="A108" s="32"/>
      <c r="B108" s="32"/>
      <c r="C108" s="54" t="s">
        <v>729</v>
      </c>
      <c r="D108" s="54"/>
      <c r="E108" s="54"/>
      <c r="F108" s="54"/>
      <c r="G108" s="54"/>
      <c r="H108" s="54"/>
      <c r="I108" s="54"/>
      <c r="J108" s="32"/>
      <c r="K108" s="56" t="str">
        <f>IF(LEN(C108)=0,"[작성 필요]",C108)&amp;" 선택 시나리오의 1~3년차 손익상 총비용은 "&amp;TEXT(G18,"#,##0.0")&amp;" / "&amp;TEXT(K18,"#,##0.0")&amp;" / "&amp;TEXT(N18,"#,##0.0")&amp;"백만원, 영업이익은 "&amp;TEXT(G19,"#,##0.0")&amp;" / "&amp;TEXT(K19,"#,##0.0")&amp;" / "&amp;TEXT(N19,"#,##0.0")&amp;"백만원이다. 1년차 인건비 "&amp;TEXT('03_월별손익'!F49/1000000,"#,##0.0")&amp;"백만원, 금형·설비 현금지출 "&amp;TEXT('04_재고현금'!F32/1000000,"#,##0.0")&amp;"백만원을 반영한다. 초기 투자금 "&amp;TEXT('01_가정'!F105/1000000,"#,##0.0")&amp;"백만원 유입 후, 36개월 최소현금 "&amp;TEXT('01_가정'!F106/1000000,"#,##0.0")&amp;"백만원을 유지하기 위한 최대 추가자금 필요액은 "&amp;TEXT('00_투자판단'!F23/1000000,"#,##0.0")&amp;"백만원이다. 회사의 인건비 현금 부담률은 "&amp;TEXT('01_가정'!F107,"0%")&amp;"이며 지원을 반영해도 손익 인건비는 유지한다."</f>
        <v>주요 비용은 본체·패치 제조원가, 배송·결제·반품·보증, 광고비, 인건비, 고정운영비, 시제품·연구개발 및 감가상각이다. 금형·설비 투자와 재고 선발주는 손익 비용과 집행 시점이 달라 현금흐름을 별도로 관리한다. 선택 시나리오의 1~3년차 손익상 총비용은 252.4 / 326.3 / 430.6백만원, 영업이익은 -246.8 / -241.0 / -245.9백만원이다. 1년차 인건비 162.0백만원, 금형·설비 현금지출 27.5백만원을 반영한다. 초기 투자금 300.0백만원 유입 후, 36개월 최소현금 30.0백만원을 유지하기 위한 최대 추가자금 필요액은 501.9백만원이다. 회사의 인건비 현금 부담률은 0%이며 지원을 반영해도 손익 인건비는 유지한다.</v>
      </c>
      <c r="L108" s="56"/>
      <c r="M108" s="56"/>
      <c r="N108" s="56"/>
      <c r="O108" s="56"/>
      <c r="P108" s="56"/>
      <c r="Q108" s="56"/>
    </row>
    <row r="109" spans="1:17" ht="19.95" customHeight="1">
      <c r="A109" s="32"/>
      <c r="B109" s="32"/>
      <c r="C109" s="54"/>
      <c r="D109" s="54"/>
      <c r="E109" s="54"/>
      <c r="F109" s="54"/>
      <c r="G109" s="54"/>
      <c r="H109" s="54"/>
      <c r="I109" s="54"/>
      <c r="J109" s="32"/>
      <c r="K109" s="56"/>
      <c r="L109" s="56"/>
      <c r="M109" s="56"/>
      <c r="N109" s="56"/>
      <c r="O109" s="56"/>
      <c r="P109" s="56"/>
      <c r="Q109" s="56"/>
    </row>
    <row r="110" spans="1:17" ht="19.95" customHeight="1">
      <c r="A110" s="32"/>
      <c r="B110" s="32"/>
      <c r="C110" s="54"/>
      <c r="D110" s="54"/>
      <c r="E110" s="54"/>
      <c r="F110" s="54"/>
      <c r="G110" s="54"/>
      <c r="H110" s="54"/>
      <c r="I110" s="54"/>
      <c r="J110" s="32"/>
      <c r="K110" s="56"/>
      <c r="L110" s="56"/>
      <c r="M110" s="56"/>
      <c r="N110" s="56"/>
      <c r="O110" s="56"/>
      <c r="P110" s="56"/>
      <c r="Q110" s="56"/>
    </row>
    <row r="111" spans="1:17" ht="19.95" customHeight="1">
      <c r="A111" s="32"/>
      <c r="B111" s="32"/>
      <c r="C111" s="54"/>
      <c r="D111" s="54"/>
      <c r="E111" s="54"/>
      <c r="F111" s="54"/>
      <c r="G111" s="54"/>
      <c r="H111" s="54"/>
      <c r="I111" s="54"/>
      <c r="J111" s="32"/>
      <c r="K111" s="56"/>
      <c r="L111" s="56"/>
      <c r="M111" s="56"/>
      <c r="N111" s="56"/>
      <c r="O111" s="56"/>
      <c r="P111" s="56"/>
      <c r="Q111" s="56"/>
    </row>
    <row r="112" spans="1:17" ht="19.95" customHeight="1">
      <c r="A112" s="32"/>
      <c r="B112" s="32"/>
      <c r="C112" s="54"/>
      <c r="D112" s="54"/>
      <c r="E112" s="54"/>
      <c r="F112" s="54"/>
      <c r="G112" s="54"/>
      <c r="H112" s="54"/>
      <c r="I112" s="54"/>
      <c r="J112" s="32"/>
      <c r="K112" s="56"/>
      <c r="L112" s="56"/>
      <c r="M112" s="56"/>
      <c r="N112" s="56"/>
      <c r="O112" s="56"/>
      <c r="P112" s="56"/>
      <c r="Q112" s="56"/>
    </row>
    <row r="113" spans="1:17" ht="19.95" customHeight="1">
      <c r="A113" s="32"/>
      <c r="B113" s="32"/>
      <c r="C113" s="54"/>
      <c r="D113" s="54"/>
      <c r="E113" s="54"/>
      <c r="F113" s="54"/>
      <c r="G113" s="54"/>
      <c r="H113" s="54"/>
      <c r="I113" s="54"/>
      <c r="J113" s="32"/>
      <c r="K113" s="56"/>
      <c r="L113" s="56"/>
      <c r="M113" s="56"/>
      <c r="N113" s="56"/>
      <c r="O113" s="56"/>
      <c r="P113" s="56"/>
      <c r="Q113" s="56"/>
    </row>
    <row r="114" spans="1:17" ht="19.95" customHeight="1">
      <c r="A114" s="32"/>
      <c r="B114" s="32"/>
      <c r="C114" s="54"/>
      <c r="D114" s="54"/>
      <c r="E114" s="54"/>
      <c r="F114" s="54"/>
      <c r="G114" s="54"/>
      <c r="H114" s="54"/>
      <c r="I114" s="54"/>
      <c r="J114" s="32"/>
      <c r="K114" s="56"/>
      <c r="L114" s="56"/>
      <c r="M114" s="56"/>
      <c r="N114" s="56"/>
      <c r="O114" s="56"/>
      <c r="P114" s="56"/>
      <c r="Q114" s="56"/>
    </row>
    <row r="115" spans="1:17" ht="19.95" customHeight="1">
      <c r="A115" s="32"/>
      <c r="B115" s="32"/>
      <c r="C115" s="54"/>
      <c r="D115" s="54"/>
      <c r="E115" s="54"/>
      <c r="F115" s="54"/>
      <c r="G115" s="54"/>
      <c r="H115" s="54"/>
      <c r="I115" s="54"/>
      <c r="J115" s="32"/>
      <c r="K115" s="56"/>
      <c r="L115" s="56"/>
      <c r="M115" s="56"/>
      <c r="N115" s="56"/>
      <c r="O115" s="56"/>
      <c r="P115" s="56"/>
      <c r="Q115" s="56"/>
    </row>
    <row r="116" spans="1:17" ht="19.95" customHeight="1">
      <c r="A116" s="32"/>
      <c r="B116" s="32"/>
      <c r="C116" s="54"/>
      <c r="D116" s="54"/>
      <c r="E116" s="54"/>
      <c r="F116" s="54"/>
      <c r="G116" s="54"/>
      <c r="H116" s="54"/>
      <c r="I116" s="54"/>
      <c r="J116" s="32"/>
      <c r="K116" s="56"/>
      <c r="L116" s="56"/>
      <c r="M116" s="56"/>
      <c r="N116" s="56"/>
      <c r="O116" s="56"/>
      <c r="P116" s="56"/>
      <c r="Q116" s="56"/>
    </row>
    <row r="117" spans="1:17" ht="19.95" customHeight="1">
      <c r="A117" s="32"/>
      <c r="B117" s="32"/>
      <c r="C117" s="54"/>
      <c r="D117" s="54"/>
      <c r="E117" s="54"/>
      <c r="F117" s="54"/>
      <c r="G117" s="54"/>
      <c r="H117" s="54"/>
      <c r="I117" s="54"/>
      <c r="J117" s="32"/>
      <c r="K117" s="56"/>
      <c r="L117" s="56"/>
      <c r="M117" s="56"/>
      <c r="N117" s="56"/>
      <c r="O117" s="56"/>
      <c r="P117" s="56"/>
      <c r="Q117" s="56"/>
    </row>
    <row r="118" spans="1:17" ht="19.95" customHeight="1">
      <c r="A118" s="32"/>
      <c r="B118" s="32"/>
      <c r="C118" s="54"/>
      <c r="D118" s="54"/>
      <c r="E118" s="54"/>
      <c r="F118" s="54"/>
      <c r="G118" s="54"/>
      <c r="H118" s="54"/>
      <c r="I118" s="54"/>
      <c r="J118" s="32"/>
      <c r="K118" s="56"/>
      <c r="L118" s="56"/>
      <c r="M118" s="56"/>
      <c r="N118" s="56"/>
      <c r="O118" s="56"/>
      <c r="P118" s="56"/>
      <c r="Q118" s="56"/>
    </row>
    <row r="119" spans="1:17" ht="19.95" customHeight="1">
      <c r="A119" s="32"/>
      <c r="B119" s="32"/>
      <c r="C119" s="54"/>
      <c r="D119" s="54"/>
      <c r="E119" s="54"/>
      <c r="F119" s="54"/>
      <c r="G119" s="54"/>
      <c r="H119" s="54"/>
      <c r="I119" s="54"/>
      <c r="J119" s="32"/>
      <c r="K119" s="56"/>
      <c r="L119" s="56"/>
      <c r="M119" s="56"/>
      <c r="N119" s="56"/>
      <c r="O119" s="56"/>
      <c r="P119" s="56"/>
      <c r="Q119" s="56"/>
    </row>
    <row r="120" spans="1:17" ht="19.95" customHeight="1">
      <c r="A120" s="32"/>
      <c r="B120" s="32"/>
      <c r="C120" s="54"/>
      <c r="D120" s="54"/>
      <c r="E120" s="54"/>
      <c r="F120" s="54"/>
      <c r="G120" s="54"/>
      <c r="H120" s="54"/>
      <c r="I120" s="54"/>
      <c r="J120" s="32"/>
      <c r="K120" s="56"/>
      <c r="L120" s="56"/>
      <c r="M120" s="56"/>
      <c r="N120" s="56"/>
      <c r="O120" s="56"/>
      <c r="P120" s="56"/>
      <c r="Q120" s="56"/>
    </row>
    <row r="121" spans="1:17" ht="19.95" customHeight="1">
      <c r="A121" s="32"/>
      <c r="B121" s="32"/>
      <c r="C121" s="54"/>
      <c r="D121" s="54"/>
      <c r="E121" s="54"/>
      <c r="F121" s="54"/>
      <c r="G121" s="54"/>
      <c r="H121" s="54"/>
      <c r="I121" s="54"/>
      <c r="J121" s="32"/>
      <c r="K121" s="56"/>
      <c r="L121" s="56"/>
      <c r="M121" s="56"/>
      <c r="N121" s="56"/>
      <c r="O121" s="56"/>
      <c r="P121" s="56"/>
      <c r="Q121" s="56"/>
    </row>
    <row r="122" spans="1:17" ht="19.95" customHeight="1">
      <c r="A122" s="32"/>
      <c r="B122" s="32"/>
      <c r="C122" s="45" t="s">
        <v>730</v>
      </c>
      <c r="D122" s="45"/>
      <c r="E122" s="45"/>
      <c r="F122" s="45"/>
      <c r="G122" s="45"/>
      <c r="H122" s="45"/>
      <c r="I122" s="45"/>
      <c r="J122" s="45"/>
      <c r="K122" s="45"/>
      <c r="L122" s="45"/>
      <c r="M122" s="45"/>
      <c r="N122" s="45"/>
      <c r="O122" s="45"/>
      <c r="P122" s="45"/>
      <c r="Q122" s="45"/>
    </row>
    <row r="123" spans="1:17" ht="19.95" customHeight="1">
      <c r="A123" s="32"/>
      <c r="B123" s="32"/>
      <c r="C123" s="45"/>
      <c r="D123" s="45"/>
      <c r="E123" s="45"/>
      <c r="F123" s="45"/>
      <c r="G123" s="45"/>
      <c r="H123" s="45"/>
      <c r="I123" s="45"/>
      <c r="J123" s="45"/>
      <c r="K123" s="45"/>
      <c r="L123" s="45"/>
      <c r="M123" s="45"/>
      <c r="N123" s="45"/>
      <c r="O123" s="45"/>
      <c r="P123" s="45"/>
      <c r="Q123" s="45"/>
    </row>
    <row r="124" spans="1:17" ht="19.95" customHeight="1">
      <c r="A124" s="32"/>
      <c r="B124" s="32"/>
      <c r="C124" s="32"/>
      <c r="D124" s="32"/>
      <c r="E124" s="32"/>
      <c r="F124" s="32"/>
      <c r="G124" s="32"/>
      <c r="H124" s="32"/>
      <c r="I124" s="32"/>
      <c r="J124" s="32"/>
      <c r="K124" s="32"/>
      <c r="L124" s="32"/>
      <c r="M124" s="32"/>
      <c r="N124" s="32"/>
      <c r="O124" s="32"/>
      <c r="P124" s="32"/>
      <c r="Q124" s="32"/>
    </row>
    <row r="125" spans="1:17" ht="28.05" customHeight="1">
      <c r="A125" s="32"/>
      <c r="B125" s="32"/>
      <c r="C125" s="43" t="s">
        <v>731</v>
      </c>
      <c r="D125" s="43"/>
      <c r="E125" s="43"/>
      <c r="F125" s="43"/>
      <c r="G125" s="43"/>
      <c r="H125" s="43"/>
      <c r="I125" s="43"/>
      <c r="J125" s="43"/>
      <c r="K125" s="43"/>
      <c r="L125" s="43"/>
      <c r="M125" s="43"/>
      <c r="N125" s="43"/>
      <c r="O125" s="43"/>
      <c r="P125" s="43"/>
      <c r="Q125" s="43"/>
    </row>
    <row r="126" spans="1:17" ht="19.95" customHeight="1">
      <c r="A126" s="32"/>
      <c r="B126" s="32"/>
      <c r="C126" s="52" t="s">
        <v>709</v>
      </c>
      <c r="D126" s="52"/>
      <c r="E126" s="52"/>
      <c r="F126" s="52"/>
      <c r="G126" s="52"/>
      <c r="H126" s="52"/>
      <c r="I126" s="52"/>
      <c r="J126" s="32"/>
      <c r="K126" s="53" t="s">
        <v>710</v>
      </c>
      <c r="L126" s="53"/>
      <c r="M126" s="53"/>
      <c r="N126" s="53"/>
      <c r="O126" s="53"/>
      <c r="P126" s="53"/>
      <c r="Q126" s="53"/>
    </row>
    <row r="127" spans="1:17" ht="19.95" customHeight="1">
      <c r="A127" s="32"/>
      <c r="B127" s="32"/>
      <c r="C127" s="54" t="s">
        <v>732</v>
      </c>
      <c r="D127" s="54"/>
      <c r="E127" s="54"/>
      <c r="F127" s="54"/>
      <c r="G127" s="54"/>
      <c r="H127" s="54"/>
      <c r="I127" s="54"/>
      <c r="J127" s="32"/>
      <c r="K127" s="56" t="str">
        <f>IF(LEN(C127)=0,"[작성 필요]",C127)&amp;IF('01_가정'!F95=0," 현재 재무 시나리오는 리테일 매출을 제외하고 DTC를 반영한다."," 현재 재무 시나리오는 DTC와 리테일 물량 가정을 반영하며, 실제 계약 여부는 별도 확인한다.")</f>
        <v>초기에는 고객 인터뷰 참여자와 자사 온라인 채널을 통해 사용성과 지불 의사를 검증하고, 콘텐츠·검색·소셜 광고에서 구매 전환을 측정한다. 이후 검증된 수익성과 제조·공급 안정성을 바탕으로 전문 유통 및 리테일 협의를 진행한다. Wcare 등 접점은 협의 후보이며 입점·물량 확정으로 간주하지 않는다. 현재 재무 시나리오는 리테일 매출을 제외하고 DTC를 반영한다.</v>
      </c>
      <c r="L127" s="56"/>
      <c r="M127" s="56"/>
      <c r="N127" s="56"/>
      <c r="O127" s="56"/>
      <c r="P127" s="56"/>
      <c r="Q127" s="56"/>
    </row>
    <row r="128" spans="1:17" ht="19.95" customHeight="1">
      <c r="A128" s="32"/>
      <c r="B128" s="32"/>
      <c r="C128" s="54"/>
      <c r="D128" s="54"/>
      <c r="E128" s="54"/>
      <c r="F128" s="54"/>
      <c r="G128" s="54"/>
      <c r="H128" s="54"/>
      <c r="I128" s="54"/>
      <c r="J128" s="32"/>
      <c r="K128" s="56"/>
      <c r="L128" s="56"/>
      <c r="M128" s="56"/>
      <c r="N128" s="56"/>
      <c r="O128" s="56"/>
      <c r="P128" s="56"/>
      <c r="Q128" s="56"/>
    </row>
    <row r="129" spans="1:17" ht="19.95" customHeight="1">
      <c r="A129" s="32"/>
      <c r="B129" s="32"/>
      <c r="C129" s="54"/>
      <c r="D129" s="54"/>
      <c r="E129" s="54"/>
      <c r="F129" s="54"/>
      <c r="G129" s="54"/>
      <c r="H129" s="54"/>
      <c r="I129" s="54"/>
      <c r="J129" s="32"/>
      <c r="K129" s="56"/>
      <c r="L129" s="56"/>
      <c r="M129" s="56"/>
      <c r="N129" s="56"/>
      <c r="O129" s="56"/>
      <c r="P129" s="56"/>
      <c r="Q129" s="56"/>
    </row>
    <row r="130" spans="1:17" ht="19.95" customHeight="1">
      <c r="A130" s="32"/>
      <c r="B130" s="32"/>
      <c r="C130" s="54"/>
      <c r="D130" s="54"/>
      <c r="E130" s="54"/>
      <c r="F130" s="54"/>
      <c r="G130" s="54"/>
      <c r="H130" s="54"/>
      <c r="I130" s="54"/>
      <c r="J130" s="32"/>
      <c r="K130" s="56"/>
      <c r="L130" s="56"/>
      <c r="M130" s="56"/>
      <c r="N130" s="56"/>
      <c r="O130" s="56"/>
      <c r="P130" s="56"/>
      <c r="Q130" s="56"/>
    </row>
    <row r="131" spans="1:17" ht="19.95" customHeight="1">
      <c r="A131" s="32"/>
      <c r="B131" s="32"/>
      <c r="C131" s="54"/>
      <c r="D131" s="54"/>
      <c r="E131" s="54"/>
      <c r="F131" s="54"/>
      <c r="G131" s="54"/>
      <c r="H131" s="54"/>
      <c r="I131" s="54"/>
      <c r="J131" s="32"/>
      <c r="K131" s="56"/>
      <c r="L131" s="56"/>
      <c r="M131" s="56"/>
      <c r="N131" s="56"/>
      <c r="O131" s="56"/>
      <c r="P131" s="56"/>
      <c r="Q131" s="56"/>
    </row>
    <row r="132" spans="1:17" ht="19.95" customHeight="1">
      <c r="A132" s="32"/>
      <c r="B132" s="32"/>
      <c r="C132" s="54"/>
      <c r="D132" s="54"/>
      <c r="E132" s="54"/>
      <c r="F132" s="54"/>
      <c r="G132" s="54"/>
      <c r="H132" s="54"/>
      <c r="I132" s="54"/>
      <c r="J132" s="32"/>
      <c r="K132" s="56"/>
      <c r="L132" s="56"/>
      <c r="M132" s="56"/>
      <c r="N132" s="56"/>
      <c r="O132" s="56"/>
      <c r="P132" s="56"/>
      <c r="Q132" s="56"/>
    </row>
    <row r="133" spans="1:17" ht="19.95" customHeight="1">
      <c r="A133" s="32"/>
      <c r="B133" s="32"/>
      <c r="C133" s="54"/>
      <c r="D133" s="54"/>
      <c r="E133" s="54"/>
      <c r="F133" s="54"/>
      <c r="G133" s="54"/>
      <c r="H133" s="54"/>
      <c r="I133" s="54"/>
      <c r="J133" s="32"/>
      <c r="K133" s="56"/>
      <c r="L133" s="56"/>
      <c r="M133" s="56"/>
      <c r="N133" s="56"/>
      <c r="O133" s="56"/>
      <c r="P133" s="56"/>
      <c r="Q133" s="56"/>
    </row>
    <row r="134" spans="1:17" ht="19.95" customHeight="1">
      <c r="A134" s="32"/>
      <c r="B134" s="32"/>
      <c r="C134" s="54"/>
      <c r="D134" s="54"/>
      <c r="E134" s="54"/>
      <c r="F134" s="54"/>
      <c r="G134" s="54"/>
      <c r="H134" s="54"/>
      <c r="I134" s="54"/>
      <c r="J134" s="32"/>
      <c r="K134" s="56"/>
      <c r="L134" s="56"/>
      <c r="M134" s="56"/>
      <c r="N134" s="56"/>
      <c r="O134" s="56"/>
      <c r="P134" s="56"/>
      <c r="Q134" s="56"/>
    </row>
    <row r="135" spans="1:17" ht="19.95" customHeight="1">
      <c r="A135" s="32"/>
      <c r="B135" s="32"/>
      <c r="C135" s="45" t="s">
        <v>733</v>
      </c>
      <c r="D135" s="45"/>
      <c r="E135" s="45"/>
      <c r="F135" s="45"/>
      <c r="G135" s="45"/>
      <c r="H135" s="45"/>
      <c r="I135" s="45"/>
      <c r="J135" s="45"/>
      <c r="K135" s="45"/>
      <c r="L135" s="45"/>
      <c r="M135" s="45"/>
      <c r="N135" s="45"/>
      <c r="O135" s="45"/>
      <c r="P135" s="45"/>
      <c r="Q135" s="45"/>
    </row>
    <row r="136" spans="1:17" ht="19.95" customHeight="1">
      <c r="A136" s="32"/>
      <c r="B136" s="32"/>
      <c r="C136" s="45"/>
      <c r="D136" s="45"/>
      <c r="E136" s="45"/>
      <c r="F136" s="45"/>
      <c r="G136" s="45"/>
      <c r="H136" s="45"/>
      <c r="I136" s="45"/>
      <c r="J136" s="45"/>
      <c r="K136" s="45"/>
      <c r="L136" s="45"/>
      <c r="M136" s="45"/>
      <c r="N136" s="45"/>
      <c r="O136" s="45"/>
      <c r="P136" s="45"/>
      <c r="Q136" s="45"/>
    </row>
    <row r="137" spans="1:17" ht="19.95" customHeight="1">
      <c r="A137" s="32"/>
      <c r="B137" s="32"/>
      <c r="C137" s="32"/>
      <c r="D137" s="32"/>
      <c r="E137" s="32"/>
      <c r="F137" s="32"/>
      <c r="G137" s="32"/>
      <c r="H137" s="32"/>
      <c r="I137" s="32"/>
      <c r="J137" s="32"/>
      <c r="K137" s="32"/>
      <c r="L137" s="32"/>
      <c r="M137" s="32"/>
      <c r="N137" s="32"/>
      <c r="O137" s="32"/>
      <c r="P137" s="32"/>
      <c r="Q137" s="32"/>
    </row>
    <row r="138" spans="1:17" ht="28.05" customHeight="1">
      <c r="A138" s="32"/>
      <c r="B138" s="32"/>
      <c r="C138" s="43" t="s">
        <v>734</v>
      </c>
      <c r="D138" s="43"/>
      <c r="E138" s="43"/>
      <c r="F138" s="43"/>
      <c r="G138" s="43"/>
      <c r="H138" s="43"/>
      <c r="I138" s="43"/>
      <c r="J138" s="43"/>
      <c r="K138" s="43"/>
      <c r="L138" s="43"/>
      <c r="M138" s="43"/>
      <c r="N138" s="43"/>
      <c r="O138" s="43"/>
      <c r="P138" s="43"/>
      <c r="Q138" s="43"/>
    </row>
    <row r="139" spans="1:17" ht="19.95" customHeight="1">
      <c r="A139" s="32"/>
      <c r="B139" s="32"/>
      <c r="C139" s="52" t="s">
        <v>709</v>
      </c>
      <c r="D139" s="52"/>
      <c r="E139" s="52"/>
      <c r="F139" s="52"/>
      <c r="G139" s="52"/>
      <c r="H139" s="52"/>
      <c r="I139" s="52"/>
      <c r="J139" s="32"/>
      <c r="K139" s="53" t="s">
        <v>710</v>
      </c>
      <c r="L139" s="53"/>
      <c r="M139" s="53"/>
      <c r="N139" s="53"/>
      <c r="O139" s="53"/>
      <c r="P139" s="53"/>
      <c r="Q139" s="53"/>
    </row>
    <row r="140" spans="1:17" ht="19.95" customHeight="1">
      <c r="A140" s="32"/>
      <c r="B140" s="32"/>
      <c r="C140" s="54" t="s">
        <v>735</v>
      </c>
      <c r="D140" s="54"/>
      <c r="E140" s="54"/>
      <c r="F140" s="54"/>
      <c r="G140" s="54"/>
      <c r="H140" s="54"/>
      <c r="I140" s="54"/>
      <c r="J140" s="32"/>
      <c r="K140" s="56" t="str">
        <f>IF(LEN(C140)=0,"[작성 필요]",C140)&amp;" 현재 1년차 가정: 본체 출고 "&amp;TEXT('03_월별손익'!F19,"#,##0")&amp;"개, CAC "&amp;TEXT('02_단위경제'!F19,"#,##0")&amp;"원, CM2 "&amp;TEXT('02_단위경제'!F20,"#,##0")&amp;"원/개이다. CM2 목표 "&amp;TEXT('01_가정'!F115,"#,##0")&amp;"원 달성을 위한 허용 CAC는 "&amp;TEXT('02_단위경제'!F23,"#,##0")&amp;"원이다. 환불률 "&amp;TEXT('01_가정'!F26,"0.0%")&amp;", 패치 첫 구매 참여율 "&amp;TEXT('01_가정'!F30,"0.0%")&amp;", 월 잔존율 "&amp;TEXT('01_가정'!F34,"0.0%")&amp;"를 가정한다. 100일 검증 계획 예산은 "&amp;TEXT('05_100일검증'!F19/1000000,"#,##0.0")&amp;"백만원이며 검증 완료·달성을 의미하지 않는다."</f>
        <v>100일 동안 고객 인터뷰, 독립 착용 가능 여부, 가격별 유료 전환, 제조 견적·안전성 자료를 확인한다. 출시 후에는 본체 출고, 환불률, 광고 고객획득비용(CAC), 광고 후 본체 공헌이익(CM2), 패치 첫 구매 참여율·잔존율, 월말 현금을 함께 관리한다. 예약·의향과 실제 결제·출고는 구분한다. 현재 1년차 가정: 본체 출고 56개, CAC 80,000원, CM2 -62,008원/개이다. CM2 목표 20,000원 달성을 위한 허용 CAC는 -2,008원이다. 환불률 15.0%, 패치 첫 구매 참여율 10.0%, 월 잔존율 75.0%를 가정한다. 100일 검증 계획 예산은 10.0백만원이며 검증 완료·달성을 의미하지 않는다.</v>
      </c>
      <c r="L140" s="56"/>
      <c r="M140" s="56"/>
      <c r="N140" s="56"/>
      <c r="O140" s="56"/>
      <c r="P140" s="56"/>
      <c r="Q140" s="56"/>
    </row>
    <row r="141" spans="1:17" ht="19.95" customHeight="1">
      <c r="A141" s="32"/>
      <c r="B141" s="32"/>
      <c r="C141" s="54"/>
      <c r="D141" s="54"/>
      <c r="E141" s="54"/>
      <c r="F141" s="54"/>
      <c r="G141" s="54"/>
      <c r="H141" s="54"/>
      <c r="I141" s="54"/>
      <c r="J141" s="32"/>
      <c r="K141" s="56"/>
      <c r="L141" s="56"/>
      <c r="M141" s="56"/>
      <c r="N141" s="56"/>
      <c r="O141" s="56"/>
      <c r="P141" s="56"/>
      <c r="Q141" s="56"/>
    </row>
    <row r="142" spans="1:17" ht="19.95" customHeight="1">
      <c r="A142" s="32"/>
      <c r="B142" s="32"/>
      <c r="C142" s="54"/>
      <c r="D142" s="54"/>
      <c r="E142" s="54"/>
      <c r="F142" s="54"/>
      <c r="G142" s="54"/>
      <c r="H142" s="54"/>
      <c r="I142" s="54"/>
      <c r="J142" s="32"/>
      <c r="K142" s="56"/>
      <c r="L142" s="56"/>
      <c r="M142" s="56"/>
      <c r="N142" s="56"/>
      <c r="O142" s="56"/>
      <c r="P142" s="56"/>
      <c r="Q142" s="56"/>
    </row>
    <row r="143" spans="1:17" ht="19.95" customHeight="1">
      <c r="A143" s="32"/>
      <c r="B143" s="32"/>
      <c r="C143" s="54"/>
      <c r="D143" s="54"/>
      <c r="E143" s="54"/>
      <c r="F143" s="54"/>
      <c r="G143" s="54"/>
      <c r="H143" s="54"/>
      <c r="I143" s="54"/>
      <c r="J143" s="32"/>
      <c r="K143" s="56"/>
      <c r="L143" s="56"/>
      <c r="M143" s="56"/>
      <c r="N143" s="56"/>
      <c r="O143" s="56"/>
      <c r="P143" s="56"/>
      <c r="Q143" s="56"/>
    </row>
    <row r="144" spans="1:17" ht="19.95" customHeight="1">
      <c r="A144" s="32"/>
      <c r="B144" s="32"/>
      <c r="C144" s="54"/>
      <c r="D144" s="54"/>
      <c r="E144" s="54"/>
      <c r="F144" s="54"/>
      <c r="G144" s="54"/>
      <c r="H144" s="54"/>
      <c r="I144" s="54"/>
      <c r="J144" s="32"/>
      <c r="K144" s="56"/>
      <c r="L144" s="56"/>
      <c r="M144" s="56"/>
      <c r="N144" s="56"/>
      <c r="O144" s="56"/>
      <c r="P144" s="56"/>
      <c r="Q144" s="56"/>
    </row>
    <row r="145" spans="1:17" ht="19.95" customHeight="1">
      <c r="A145" s="32"/>
      <c r="B145" s="32"/>
      <c r="C145" s="54"/>
      <c r="D145" s="54"/>
      <c r="E145" s="54"/>
      <c r="F145" s="54"/>
      <c r="G145" s="54"/>
      <c r="H145" s="54"/>
      <c r="I145" s="54"/>
      <c r="J145" s="32"/>
      <c r="K145" s="56"/>
      <c r="L145" s="56"/>
      <c r="M145" s="56"/>
      <c r="N145" s="56"/>
      <c r="O145" s="56"/>
      <c r="P145" s="56"/>
      <c r="Q145" s="56"/>
    </row>
    <row r="146" spans="1:17" ht="19.95" customHeight="1">
      <c r="A146" s="32"/>
      <c r="B146" s="32"/>
      <c r="C146" s="54"/>
      <c r="D146" s="54"/>
      <c r="E146" s="54"/>
      <c r="F146" s="54"/>
      <c r="G146" s="54"/>
      <c r="H146" s="54"/>
      <c r="I146" s="54"/>
      <c r="J146" s="32"/>
      <c r="K146" s="56"/>
      <c r="L146" s="56"/>
      <c r="M146" s="56"/>
      <c r="N146" s="56"/>
      <c r="O146" s="56"/>
      <c r="P146" s="56"/>
      <c r="Q146" s="56"/>
    </row>
    <row r="147" spans="1:17" ht="19.95" customHeight="1">
      <c r="A147" s="32"/>
      <c r="B147" s="32"/>
      <c r="C147" s="54"/>
      <c r="D147" s="54"/>
      <c r="E147" s="54"/>
      <c r="F147" s="54"/>
      <c r="G147" s="54"/>
      <c r="H147" s="54"/>
      <c r="I147" s="54"/>
      <c r="J147" s="32"/>
      <c r="K147" s="56"/>
      <c r="L147" s="56"/>
      <c r="M147" s="56"/>
      <c r="N147" s="56"/>
      <c r="O147" s="56"/>
      <c r="P147" s="56"/>
      <c r="Q147" s="56"/>
    </row>
    <row r="148" spans="1:17" ht="19.95" customHeight="1">
      <c r="A148" s="32"/>
      <c r="B148" s="32"/>
      <c r="C148" s="54"/>
      <c r="D148" s="54"/>
      <c r="E148" s="54"/>
      <c r="F148" s="54"/>
      <c r="G148" s="54"/>
      <c r="H148" s="54"/>
      <c r="I148" s="54"/>
      <c r="J148" s="32"/>
      <c r="K148" s="56"/>
      <c r="L148" s="56"/>
      <c r="M148" s="56"/>
      <c r="N148" s="56"/>
      <c r="O148" s="56"/>
      <c r="P148" s="56"/>
      <c r="Q148" s="56"/>
    </row>
    <row r="149" spans="1:17" ht="19.95" customHeight="1">
      <c r="A149" s="32"/>
      <c r="B149" s="32"/>
      <c r="C149" s="54"/>
      <c r="D149" s="54"/>
      <c r="E149" s="54"/>
      <c r="F149" s="54"/>
      <c r="G149" s="54"/>
      <c r="H149" s="54"/>
      <c r="I149" s="54"/>
      <c r="J149" s="32"/>
      <c r="K149" s="56"/>
      <c r="L149" s="56"/>
      <c r="M149" s="56"/>
      <c r="N149" s="56"/>
      <c r="O149" s="56"/>
      <c r="P149" s="56"/>
      <c r="Q149" s="56"/>
    </row>
    <row r="150" spans="1:17" ht="19.95" customHeight="1">
      <c r="A150" s="32"/>
      <c r="B150" s="32"/>
      <c r="C150" s="54"/>
      <c r="D150" s="54"/>
      <c r="E150" s="54"/>
      <c r="F150" s="54"/>
      <c r="G150" s="54"/>
      <c r="H150" s="54"/>
      <c r="I150" s="54"/>
      <c r="J150" s="32"/>
      <c r="K150" s="56"/>
      <c r="L150" s="56"/>
      <c r="M150" s="56"/>
      <c r="N150" s="56"/>
      <c r="O150" s="56"/>
      <c r="P150" s="56"/>
      <c r="Q150" s="56"/>
    </row>
    <row r="151" spans="1:17" ht="19.95" customHeight="1">
      <c r="A151" s="32"/>
      <c r="B151" s="32"/>
      <c r="C151" s="54"/>
      <c r="D151" s="54"/>
      <c r="E151" s="54"/>
      <c r="F151" s="54"/>
      <c r="G151" s="54"/>
      <c r="H151" s="54"/>
      <c r="I151" s="54"/>
      <c r="J151" s="32"/>
      <c r="K151" s="56"/>
      <c r="L151" s="56"/>
      <c r="M151" s="56"/>
      <c r="N151" s="56"/>
      <c r="O151" s="56"/>
      <c r="P151" s="56"/>
      <c r="Q151" s="56"/>
    </row>
    <row r="152" spans="1:17" ht="19.95" customHeight="1">
      <c r="A152" s="32"/>
      <c r="B152" s="32"/>
      <c r="C152" s="54"/>
      <c r="D152" s="54"/>
      <c r="E152" s="54"/>
      <c r="F152" s="54"/>
      <c r="G152" s="54"/>
      <c r="H152" s="54"/>
      <c r="I152" s="54"/>
      <c r="J152" s="32"/>
      <c r="K152" s="56"/>
      <c r="L152" s="56"/>
      <c r="M152" s="56"/>
      <c r="N152" s="56"/>
      <c r="O152" s="56"/>
      <c r="P152" s="56"/>
      <c r="Q152" s="56"/>
    </row>
    <row r="153" spans="1:17" ht="19.95" customHeight="1">
      <c r="A153" s="32"/>
      <c r="B153" s="32"/>
      <c r="C153" s="45" t="s">
        <v>736</v>
      </c>
      <c r="D153" s="45"/>
      <c r="E153" s="45"/>
      <c r="F153" s="45"/>
      <c r="G153" s="45"/>
      <c r="H153" s="45"/>
      <c r="I153" s="45"/>
      <c r="J153" s="45"/>
      <c r="K153" s="45"/>
      <c r="L153" s="45"/>
      <c r="M153" s="45"/>
      <c r="N153" s="45"/>
      <c r="O153" s="45"/>
      <c r="P153" s="45"/>
      <c r="Q153" s="45"/>
    </row>
    <row r="154" spans="1:17" ht="19.95" customHeight="1">
      <c r="A154" s="32"/>
      <c r="B154" s="32"/>
      <c r="C154" s="45"/>
      <c r="D154" s="45"/>
      <c r="E154" s="45"/>
      <c r="F154" s="45"/>
      <c r="G154" s="45"/>
      <c r="H154" s="45"/>
      <c r="I154" s="45"/>
      <c r="J154" s="45"/>
      <c r="K154" s="45"/>
      <c r="L154" s="45"/>
      <c r="M154" s="45"/>
      <c r="N154" s="45"/>
      <c r="O154" s="45"/>
      <c r="P154" s="45"/>
      <c r="Q154" s="45"/>
    </row>
    <row r="155" spans="1:17" ht="19.95" customHeight="1">
      <c r="A155" s="32"/>
      <c r="B155" s="32"/>
      <c r="C155" s="32"/>
      <c r="D155" s="32"/>
      <c r="E155" s="32"/>
      <c r="F155" s="32"/>
      <c r="G155" s="32"/>
      <c r="H155" s="32"/>
      <c r="I155" s="32"/>
      <c r="J155" s="32"/>
      <c r="K155" s="32"/>
      <c r="L155" s="32"/>
      <c r="M155" s="32"/>
      <c r="N155" s="32"/>
      <c r="O155" s="32"/>
      <c r="P155" s="32"/>
      <c r="Q155" s="32"/>
    </row>
    <row r="156" spans="1:17" ht="28.05" customHeight="1">
      <c r="A156" s="32"/>
      <c r="B156" s="32"/>
      <c r="C156" s="43" t="s">
        <v>737</v>
      </c>
      <c r="D156" s="43"/>
      <c r="E156" s="43"/>
      <c r="F156" s="43"/>
      <c r="G156" s="43"/>
      <c r="H156" s="43"/>
      <c r="I156" s="43"/>
      <c r="J156" s="43"/>
      <c r="K156" s="43"/>
      <c r="L156" s="43"/>
      <c r="M156" s="43"/>
      <c r="N156" s="43"/>
      <c r="O156" s="43"/>
      <c r="P156" s="43"/>
      <c r="Q156" s="43"/>
    </row>
    <row r="157" spans="1:17" ht="19.95" customHeight="1">
      <c r="A157" s="32"/>
      <c r="B157" s="32"/>
      <c r="C157" s="52" t="s">
        <v>709</v>
      </c>
      <c r="D157" s="52"/>
      <c r="E157" s="52"/>
      <c r="F157" s="52"/>
      <c r="G157" s="52"/>
      <c r="H157" s="52"/>
      <c r="I157" s="52"/>
      <c r="J157" s="32"/>
      <c r="K157" s="53" t="s">
        <v>710</v>
      </c>
      <c r="L157" s="53"/>
      <c r="M157" s="53"/>
      <c r="N157" s="53"/>
      <c r="O157" s="53"/>
      <c r="P157" s="53"/>
      <c r="Q157" s="53"/>
    </row>
    <row r="158" spans="1:17" ht="19.95" customHeight="1">
      <c r="A158" s="32"/>
      <c r="B158" s="32"/>
      <c r="C158" s="54" t="s">
        <v>738</v>
      </c>
      <c r="D158" s="54"/>
      <c r="E158" s="54"/>
      <c r="F158" s="54"/>
      <c r="G158" s="54"/>
      <c r="H158" s="54"/>
      <c r="I158" s="54"/>
      <c r="J158" s="32"/>
      <c r="K158" s="55" t="str">
        <f>IF(LEN(C158)=0,"[작성 필요]",C158)</f>
        <v>손으로 계속 누르는 번거로움을 줄이기 위해, 교체형 패치와 온열·공기압을 결합한 발목 착용형 셀프케어 제품 및 패치 반복 구매 모델.</v>
      </c>
      <c r="L158" s="55"/>
      <c r="M158" s="55"/>
      <c r="N158" s="55"/>
      <c r="O158" s="55"/>
      <c r="P158" s="55"/>
      <c r="Q158" s="55"/>
    </row>
    <row r="159" spans="1:17" ht="19.95" customHeight="1">
      <c r="A159" s="32"/>
      <c r="B159" s="32"/>
      <c r="C159" s="54"/>
      <c r="D159" s="54"/>
      <c r="E159" s="54"/>
      <c r="F159" s="54"/>
      <c r="G159" s="54"/>
      <c r="H159" s="54"/>
      <c r="I159" s="54"/>
      <c r="J159" s="32"/>
      <c r="K159" s="55"/>
      <c r="L159" s="55"/>
      <c r="M159" s="55"/>
      <c r="N159" s="55"/>
      <c r="O159" s="55"/>
      <c r="P159" s="55"/>
      <c r="Q159" s="55"/>
    </row>
    <row r="160" spans="1:17" ht="19.95" customHeight="1">
      <c r="A160" s="32"/>
      <c r="B160" s="32"/>
      <c r="C160" s="54"/>
      <c r="D160" s="54"/>
      <c r="E160" s="54"/>
      <c r="F160" s="54"/>
      <c r="G160" s="54"/>
      <c r="H160" s="54"/>
      <c r="I160" s="54"/>
      <c r="J160" s="32"/>
      <c r="K160" s="55"/>
      <c r="L160" s="55"/>
      <c r="M160" s="55"/>
      <c r="N160" s="55"/>
      <c r="O160" s="55"/>
      <c r="P160" s="55"/>
      <c r="Q160" s="55"/>
    </row>
    <row r="161" spans="1:17" ht="19.95" customHeight="1">
      <c r="A161" s="32"/>
      <c r="B161" s="32"/>
      <c r="C161" s="54"/>
      <c r="D161" s="54"/>
      <c r="E161" s="54"/>
      <c r="F161" s="54"/>
      <c r="G161" s="54"/>
      <c r="H161" s="54"/>
      <c r="I161" s="54"/>
      <c r="J161" s="32"/>
      <c r="K161" s="55"/>
      <c r="L161" s="55"/>
      <c r="M161" s="55"/>
      <c r="N161" s="55"/>
      <c r="O161" s="55"/>
      <c r="P161" s="55"/>
      <c r="Q161" s="55"/>
    </row>
    <row r="162" spans="1:17" ht="19.95" customHeight="1">
      <c r="A162" s="32"/>
      <c r="B162" s="32"/>
      <c r="C162" s="54"/>
      <c r="D162" s="54"/>
      <c r="E162" s="54"/>
      <c r="F162" s="54"/>
      <c r="G162" s="54"/>
      <c r="H162" s="54"/>
      <c r="I162" s="54"/>
      <c r="J162" s="32"/>
      <c r="K162" s="55"/>
      <c r="L162" s="55"/>
      <c r="M162" s="55"/>
      <c r="N162" s="55"/>
      <c r="O162" s="55"/>
      <c r="P162" s="55"/>
      <c r="Q162" s="55"/>
    </row>
    <row r="163" spans="1:17" ht="19.95" customHeight="1">
      <c r="A163" s="32"/>
      <c r="B163" s="32"/>
      <c r="C163" s="45" t="s">
        <v>739</v>
      </c>
      <c r="D163" s="45"/>
      <c r="E163" s="45"/>
      <c r="F163" s="45"/>
      <c r="G163" s="45"/>
      <c r="H163" s="45"/>
      <c r="I163" s="45"/>
      <c r="J163" s="45"/>
      <c r="K163" s="45"/>
      <c r="L163" s="45"/>
      <c r="M163" s="45"/>
      <c r="N163" s="45"/>
      <c r="O163" s="45"/>
      <c r="P163" s="45"/>
      <c r="Q163" s="45"/>
    </row>
    <row r="164" spans="1:17" ht="19.95" customHeight="1">
      <c r="A164" s="32"/>
      <c r="B164" s="32"/>
      <c r="C164" s="45"/>
      <c r="D164" s="45"/>
      <c r="E164" s="45"/>
      <c r="F164" s="45"/>
      <c r="G164" s="45"/>
      <c r="H164" s="45"/>
      <c r="I164" s="45"/>
      <c r="J164" s="45"/>
      <c r="K164" s="45"/>
      <c r="L164" s="45"/>
      <c r="M164" s="45"/>
      <c r="N164" s="45"/>
      <c r="O164" s="45"/>
      <c r="P164" s="45"/>
      <c r="Q164" s="45"/>
    </row>
    <row r="165" spans="1:17" ht="19.95" customHeight="1">
      <c r="A165" s="32"/>
      <c r="B165" s="32"/>
      <c r="C165" s="32"/>
      <c r="D165" s="32"/>
      <c r="E165" s="32"/>
      <c r="F165" s="32"/>
      <c r="G165" s="32"/>
      <c r="H165" s="32"/>
      <c r="I165" s="32"/>
      <c r="J165" s="32"/>
      <c r="K165" s="32"/>
      <c r="L165" s="32"/>
      <c r="M165" s="32"/>
      <c r="N165" s="32"/>
      <c r="O165" s="32"/>
      <c r="P165" s="32"/>
      <c r="Q165" s="32"/>
    </row>
    <row r="166" spans="1:17" ht="28.05" customHeight="1">
      <c r="A166" s="32"/>
      <c r="B166" s="32"/>
      <c r="C166" s="43" t="s">
        <v>740</v>
      </c>
      <c r="D166" s="43"/>
      <c r="E166" s="43"/>
      <c r="F166" s="43"/>
      <c r="G166" s="43"/>
      <c r="H166" s="43"/>
      <c r="I166" s="43"/>
      <c r="J166" s="43"/>
      <c r="K166" s="43"/>
      <c r="L166" s="43"/>
      <c r="M166" s="43"/>
      <c r="N166" s="43"/>
      <c r="O166" s="43"/>
      <c r="P166" s="43"/>
      <c r="Q166" s="43"/>
    </row>
    <row r="167" spans="1:17" ht="19.95" customHeight="1">
      <c r="A167" s="32"/>
      <c r="B167" s="32"/>
      <c r="C167" s="52" t="s">
        <v>709</v>
      </c>
      <c r="D167" s="52"/>
      <c r="E167" s="52"/>
      <c r="F167" s="52"/>
      <c r="G167" s="52"/>
      <c r="H167" s="52"/>
      <c r="I167" s="52"/>
      <c r="J167" s="32"/>
      <c r="K167" s="53" t="s">
        <v>710</v>
      </c>
      <c r="L167" s="53"/>
      <c r="M167" s="53"/>
      <c r="N167" s="53"/>
      <c r="O167" s="53"/>
      <c r="P167" s="53"/>
      <c r="Q167" s="53"/>
    </row>
    <row r="168" spans="1:17" ht="19.95" customHeight="1">
      <c r="A168" s="32"/>
      <c r="B168" s="32"/>
      <c r="C168" s="54" t="s">
        <v>741</v>
      </c>
      <c r="D168" s="54"/>
      <c r="E168" s="54"/>
      <c r="F168" s="54"/>
      <c r="G168" s="54"/>
      <c r="H168" s="54"/>
      <c r="I168" s="54"/>
      <c r="J168" s="32"/>
      <c r="K168" s="55" t="str">
        <f>IF(LEN(C168)=0,"[작성 필요]",C168)</f>
        <v>최근 생리 전후 불편감 때문에 온열·마사지 등 셀프케어에 비용을 지불했고, 집이나 사무실에서 앉아 있는 동안 손을 쓰지 않는 발목 셀프케어를 시도해 볼 의사가 있는 성인 여성. 기존 대안의 불편과 새로운 제품에 지불할 의사를 인터뷰와 실제 구매 행동으로 확인한다.</v>
      </c>
      <c r="L168" s="55"/>
      <c r="M168" s="55"/>
      <c r="N168" s="55"/>
      <c r="O168" s="55"/>
      <c r="P168" s="55"/>
      <c r="Q168" s="55"/>
    </row>
    <row r="169" spans="1:17" ht="19.95" customHeight="1">
      <c r="A169" s="32"/>
      <c r="B169" s="32"/>
      <c r="C169" s="54"/>
      <c r="D169" s="54"/>
      <c r="E169" s="54"/>
      <c r="F169" s="54"/>
      <c r="G169" s="54"/>
      <c r="H169" s="54"/>
      <c r="I169" s="54"/>
      <c r="J169" s="32"/>
      <c r="K169" s="55"/>
      <c r="L169" s="55"/>
      <c r="M169" s="55"/>
      <c r="N169" s="55"/>
      <c r="O169" s="55"/>
      <c r="P169" s="55"/>
      <c r="Q169" s="55"/>
    </row>
    <row r="170" spans="1:17" ht="19.95" customHeight="1">
      <c r="A170" s="32"/>
      <c r="B170" s="32"/>
      <c r="C170" s="54"/>
      <c r="D170" s="54"/>
      <c r="E170" s="54"/>
      <c r="F170" s="54"/>
      <c r="G170" s="54"/>
      <c r="H170" s="54"/>
      <c r="I170" s="54"/>
      <c r="J170" s="32"/>
      <c r="K170" s="55"/>
      <c r="L170" s="55"/>
      <c r="M170" s="55"/>
      <c r="N170" s="55"/>
      <c r="O170" s="55"/>
      <c r="P170" s="55"/>
      <c r="Q170" s="55"/>
    </row>
    <row r="171" spans="1:17" ht="19.95" customHeight="1">
      <c r="A171" s="32"/>
      <c r="B171" s="32"/>
      <c r="C171" s="54"/>
      <c r="D171" s="54"/>
      <c r="E171" s="54"/>
      <c r="F171" s="54"/>
      <c r="G171" s="54"/>
      <c r="H171" s="54"/>
      <c r="I171" s="54"/>
      <c r="J171" s="32"/>
      <c r="K171" s="55"/>
      <c r="L171" s="55"/>
      <c r="M171" s="55"/>
      <c r="N171" s="55"/>
      <c r="O171" s="55"/>
      <c r="P171" s="55"/>
      <c r="Q171" s="55"/>
    </row>
    <row r="172" spans="1:17" ht="19.95" customHeight="1">
      <c r="A172" s="32"/>
      <c r="B172" s="32"/>
      <c r="C172" s="54"/>
      <c r="D172" s="54"/>
      <c r="E172" s="54"/>
      <c r="F172" s="54"/>
      <c r="G172" s="54"/>
      <c r="H172" s="54"/>
      <c r="I172" s="54"/>
      <c r="J172" s="32"/>
      <c r="K172" s="55"/>
      <c r="L172" s="55"/>
      <c r="M172" s="55"/>
      <c r="N172" s="55"/>
      <c r="O172" s="55"/>
      <c r="P172" s="55"/>
      <c r="Q172" s="55"/>
    </row>
    <row r="173" spans="1:17" ht="19.95" customHeight="1">
      <c r="A173" s="32"/>
      <c r="B173" s="32"/>
      <c r="C173" s="54"/>
      <c r="D173" s="54"/>
      <c r="E173" s="54"/>
      <c r="F173" s="54"/>
      <c r="G173" s="54"/>
      <c r="H173" s="54"/>
      <c r="I173" s="54"/>
      <c r="J173" s="32"/>
      <c r="K173" s="55"/>
      <c r="L173" s="55"/>
      <c r="M173" s="55"/>
      <c r="N173" s="55"/>
      <c r="O173" s="55"/>
      <c r="P173" s="55"/>
      <c r="Q173" s="55"/>
    </row>
    <row r="174" spans="1:17" ht="19.95" customHeight="1">
      <c r="A174" s="32"/>
      <c r="B174" s="32"/>
      <c r="C174" s="45" t="s">
        <v>742</v>
      </c>
      <c r="D174" s="45"/>
      <c r="E174" s="45"/>
      <c r="F174" s="45"/>
      <c r="G174" s="45"/>
      <c r="H174" s="45"/>
      <c r="I174" s="45"/>
      <c r="J174" s="45"/>
      <c r="K174" s="45"/>
      <c r="L174" s="45"/>
      <c r="M174" s="45"/>
      <c r="N174" s="45"/>
      <c r="O174" s="45"/>
      <c r="P174" s="45"/>
      <c r="Q174" s="45"/>
    </row>
    <row r="175" spans="1:17" ht="19.95" customHeight="1">
      <c r="A175" s="32"/>
      <c r="B175" s="32"/>
      <c r="C175" s="45"/>
      <c r="D175" s="45"/>
      <c r="E175" s="45"/>
      <c r="F175" s="45"/>
      <c r="G175" s="45"/>
      <c r="H175" s="45"/>
      <c r="I175" s="45"/>
      <c r="J175" s="45"/>
      <c r="K175" s="45"/>
      <c r="L175" s="45"/>
      <c r="M175" s="45"/>
      <c r="N175" s="45"/>
      <c r="O175" s="45"/>
      <c r="P175" s="45"/>
      <c r="Q175" s="45"/>
    </row>
    <row r="176" spans="1:17" ht="19.95" customHeight="1">
      <c r="A176" s="32"/>
      <c r="B176" s="32"/>
      <c r="C176" s="32"/>
      <c r="D176" s="32"/>
      <c r="E176" s="32"/>
      <c r="F176" s="32"/>
      <c r="G176" s="32"/>
      <c r="H176" s="32"/>
      <c r="I176" s="32"/>
      <c r="J176" s="32"/>
      <c r="K176" s="32"/>
      <c r="L176" s="32"/>
      <c r="M176" s="32"/>
      <c r="N176" s="32"/>
      <c r="O176" s="32"/>
      <c r="P176" s="32"/>
      <c r="Q176" s="32"/>
    </row>
    <row r="177" spans="1:17" ht="28.05" customHeight="1">
      <c r="A177" s="32"/>
      <c r="B177" s="32"/>
      <c r="C177" s="43" t="s">
        <v>743</v>
      </c>
      <c r="D177" s="43"/>
      <c r="E177" s="43"/>
      <c r="F177" s="43"/>
      <c r="G177" s="43"/>
      <c r="H177" s="43"/>
      <c r="I177" s="43"/>
      <c r="J177" s="43"/>
      <c r="K177" s="43"/>
      <c r="L177" s="43"/>
      <c r="M177" s="43"/>
      <c r="N177" s="43"/>
      <c r="O177" s="43"/>
      <c r="P177" s="43"/>
      <c r="Q177" s="43"/>
    </row>
    <row r="178" spans="1:17" ht="19.95" customHeight="1">
      <c r="A178" s="32"/>
      <c r="B178" s="32"/>
      <c r="C178" s="52" t="s">
        <v>709</v>
      </c>
      <c r="D178" s="52"/>
      <c r="E178" s="52"/>
      <c r="F178" s="52"/>
      <c r="G178" s="52"/>
      <c r="H178" s="52"/>
      <c r="I178" s="52"/>
      <c r="J178" s="32"/>
      <c r="K178" s="53" t="s">
        <v>710</v>
      </c>
      <c r="L178" s="53"/>
      <c r="M178" s="53"/>
      <c r="N178" s="53"/>
      <c r="O178" s="53"/>
      <c r="P178" s="53"/>
      <c r="Q178" s="53"/>
    </row>
    <row r="179" spans="1:17" ht="19.95" customHeight="1">
      <c r="A179" s="32"/>
      <c r="B179" s="32"/>
      <c r="C179" s="54" t="s">
        <v>744</v>
      </c>
      <c r="D179" s="54"/>
      <c r="E179" s="54"/>
      <c r="F179" s="54"/>
      <c r="G179" s="54"/>
      <c r="H179" s="54"/>
      <c r="I179" s="54"/>
      <c r="J179" s="32"/>
      <c r="K179" s="56" t="str">
        <f>IF(LEN(C179)=0,"[작성 필요]",C179)&amp;" 잠재 고객 "&amp;TEXT('06_시장경쟁'!F24,"#,##0")&amp;"명 × 문제 적합도 "&amp;TEXT('06_시장경쟁'!F25,"0%")&amp;" × 지불 수용도 "&amp;TEXT('06_시장경쟁'!F26,"0%")&amp;" = 조건부 SAM "&amp;TEXT('06_시장경쟁'!F27,"#,##0")&amp;"명이다. 본체 1회 구매 기준 잠재 거래액은 "&amp;TEXT('06_시장경쟁'!F29/100000000,"#,##0.0")&amp;"억원(VAT 포함), 연간 도입률 "&amp;TEXT('06_시장경쟁'!F30,"0%")&amp;" 적용 시 "&amp;TEXT('06_시장경쟁'!F31/100000000,"#,##0.0")&amp;"억원이다. SOM 실행 목표는 1년차 DTC 출고 "&amp;TEXT('06_시장경쟁'!F33,"#,##0")&amp;"개, 전체 사업 순매출 "&amp;TEXT('06_시장경쟁'!F35/1000000,"#,##0.0")&amp;"백만원(VAT 제외·환불 차감)이다."</f>
        <v>TAM은 제품 범주·지역·고객 정의와 공신력 있는 통계를 추가 확인한 뒤 확정한다. 광의의 여성건강 시장 전체를 본 제품의 수요로 사용하지 않는다. 아래 SAM·SOM은 외부 시장조사로 확정된 규모가 아닌 고객 수·적합도·지불 의사에 따른 상향식 가정이다. 잠재 고객 1,000,000명 × 문제 적합도 20% × 지불 수용도 30% = 조건부 SAM 60,000명이다. 본체 1회 구매 기준 잠재 거래액은 77.4억원(VAT 포함), 연간 도입률 10% 적용 시 7.7억원이다. SOM 실행 목표는 1년차 DTC 출고 56개, 전체 사업 순매출 5.6백만원(VAT 제외·환불 차감)이다.</v>
      </c>
      <c r="L179" s="56"/>
      <c r="M179" s="56"/>
      <c r="N179" s="56"/>
      <c r="O179" s="56"/>
      <c r="P179" s="56"/>
      <c r="Q179" s="56"/>
    </row>
    <row r="180" spans="1:17" ht="19.95" customHeight="1">
      <c r="A180" s="32"/>
      <c r="B180" s="32"/>
      <c r="C180" s="54"/>
      <c r="D180" s="54"/>
      <c r="E180" s="54"/>
      <c r="F180" s="54"/>
      <c r="G180" s="54"/>
      <c r="H180" s="54"/>
      <c r="I180" s="54"/>
      <c r="J180" s="32"/>
      <c r="K180" s="56"/>
      <c r="L180" s="56"/>
      <c r="M180" s="56"/>
      <c r="N180" s="56"/>
      <c r="O180" s="56"/>
      <c r="P180" s="56"/>
      <c r="Q180" s="56"/>
    </row>
    <row r="181" spans="1:17" ht="19.95" customHeight="1">
      <c r="A181" s="32"/>
      <c r="B181" s="32"/>
      <c r="C181" s="54"/>
      <c r="D181" s="54"/>
      <c r="E181" s="54"/>
      <c r="F181" s="54"/>
      <c r="G181" s="54"/>
      <c r="H181" s="54"/>
      <c r="I181" s="54"/>
      <c r="J181" s="32"/>
      <c r="K181" s="56"/>
      <c r="L181" s="56"/>
      <c r="M181" s="56"/>
      <c r="N181" s="56"/>
      <c r="O181" s="56"/>
      <c r="P181" s="56"/>
      <c r="Q181" s="56"/>
    </row>
    <row r="182" spans="1:17" ht="19.95" customHeight="1">
      <c r="A182" s="32"/>
      <c r="B182" s="32"/>
      <c r="C182" s="54"/>
      <c r="D182" s="54"/>
      <c r="E182" s="54"/>
      <c r="F182" s="54"/>
      <c r="G182" s="54"/>
      <c r="H182" s="54"/>
      <c r="I182" s="54"/>
      <c r="J182" s="32"/>
      <c r="K182" s="56"/>
      <c r="L182" s="56"/>
      <c r="M182" s="56"/>
      <c r="N182" s="56"/>
      <c r="O182" s="56"/>
      <c r="P182" s="56"/>
      <c r="Q182" s="56"/>
    </row>
    <row r="183" spans="1:17" ht="19.95" customHeight="1">
      <c r="A183" s="32"/>
      <c r="B183" s="32"/>
      <c r="C183" s="54"/>
      <c r="D183" s="54"/>
      <c r="E183" s="54"/>
      <c r="F183" s="54"/>
      <c r="G183" s="54"/>
      <c r="H183" s="54"/>
      <c r="I183" s="54"/>
      <c r="J183" s="32"/>
      <c r="K183" s="56"/>
      <c r="L183" s="56"/>
      <c r="M183" s="56"/>
      <c r="N183" s="56"/>
      <c r="O183" s="56"/>
      <c r="P183" s="56"/>
      <c r="Q183" s="56"/>
    </row>
    <row r="184" spans="1:17" ht="19.95" customHeight="1">
      <c r="A184" s="32"/>
      <c r="B184" s="32"/>
      <c r="C184" s="54"/>
      <c r="D184" s="54"/>
      <c r="E184" s="54"/>
      <c r="F184" s="54"/>
      <c r="G184" s="54"/>
      <c r="H184" s="54"/>
      <c r="I184" s="54"/>
      <c r="J184" s="32"/>
      <c r="K184" s="56"/>
      <c r="L184" s="56"/>
      <c r="M184" s="56"/>
      <c r="N184" s="56"/>
      <c r="O184" s="56"/>
      <c r="P184" s="56"/>
      <c r="Q184" s="56"/>
    </row>
    <row r="185" spans="1:17" ht="19.95" customHeight="1">
      <c r="A185" s="32"/>
      <c r="B185" s="32"/>
      <c r="C185" s="54"/>
      <c r="D185" s="54"/>
      <c r="E185" s="54"/>
      <c r="F185" s="54"/>
      <c r="G185" s="54"/>
      <c r="H185" s="54"/>
      <c r="I185" s="54"/>
      <c r="J185" s="32"/>
      <c r="K185" s="56"/>
      <c r="L185" s="56"/>
      <c r="M185" s="56"/>
      <c r="N185" s="56"/>
      <c r="O185" s="56"/>
      <c r="P185" s="56"/>
      <c r="Q185" s="56"/>
    </row>
    <row r="186" spans="1:17" ht="19.95" customHeight="1">
      <c r="A186" s="32"/>
      <c r="B186" s="32"/>
      <c r="C186" s="54"/>
      <c r="D186" s="54"/>
      <c r="E186" s="54"/>
      <c r="F186" s="54"/>
      <c r="G186" s="54"/>
      <c r="H186" s="54"/>
      <c r="I186" s="54"/>
      <c r="J186" s="32"/>
      <c r="K186" s="56"/>
      <c r="L186" s="56"/>
      <c r="M186" s="56"/>
      <c r="N186" s="56"/>
      <c r="O186" s="56"/>
      <c r="P186" s="56"/>
      <c r="Q186" s="56"/>
    </row>
    <row r="187" spans="1:17" ht="19.95" customHeight="1">
      <c r="A187" s="32"/>
      <c r="B187" s="32"/>
      <c r="C187" s="54"/>
      <c r="D187" s="54"/>
      <c r="E187" s="54"/>
      <c r="F187" s="54"/>
      <c r="G187" s="54"/>
      <c r="H187" s="54"/>
      <c r="I187" s="54"/>
      <c r="J187" s="32"/>
      <c r="K187" s="56"/>
      <c r="L187" s="56"/>
      <c r="M187" s="56"/>
      <c r="N187" s="56"/>
      <c r="O187" s="56"/>
      <c r="P187" s="56"/>
      <c r="Q187" s="56"/>
    </row>
    <row r="188" spans="1:17" ht="19.95" customHeight="1">
      <c r="A188" s="32"/>
      <c r="B188" s="32"/>
      <c r="C188" s="54"/>
      <c r="D188" s="54"/>
      <c r="E188" s="54"/>
      <c r="F188" s="54"/>
      <c r="G188" s="54"/>
      <c r="H188" s="54"/>
      <c r="I188" s="54"/>
      <c r="J188" s="32"/>
      <c r="K188" s="56"/>
      <c r="L188" s="56"/>
      <c r="M188" s="56"/>
      <c r="N188" s="56"/>
      <c r="O188" s="56"/>
      <c r="P188" s="56"/>
      <c r="Q188" s="56"/>
    </row>
    <row r="189" spans="1:17" ht="19.95" customHeight="1">
      <c r="A189" s="32"/>
      <c r="B189" s="32"/>
      <c r="C189" s="54"/>
      <c r="D189" s="54"/>
      <c r="E189" s="54"/>
      <c r="F189" s="54"/>
      <c r="G189" s="54"/>
      <c r="H189" s="54"/>
      <c r="I189" s="54"/>
      <c r="J189" s="32"/>
      <c r="K189" s="56"/>
      <c r="L189" s="56"/>
      <c r="M189" s="56"/>
      <c r="N189" s="56"/>
      <c r="O189" s="56"/>
      <c r="P189" s="56"/>
      <c r="Q189" s="56"/>
    </row>
    <row r="190" spans="1:17" ht="19.95" customHeight="1">
      <c r="A190" s="32"/>
      <c r="B190" s="32"/>
      <c r="C190" s="54"/>
      <c r="D190" s="54"/>
      <c r="E190" s="54"/>
      <c r="F190" s="54"/>
      <c r="G190" s="54"/>
      <c r="H190" s="54"/>
      <c r="I190" s="54"/>
      <c r="J190" s="32"/>
      <c r="K190" s="56"/>
      <c r="L190" s="56"/>
      <c r="M190" s="56"/>
      <c r="N190" s="56"/>
      <c r="O190" s="56"/>
      <c r="P190" s="56"/>
      <c r="Q190" s="56"/>
    </row>
    <row r="191" spans="1:17" ht="19.95" customHeight="1">
      <c r="A191" s="32"/>
      <c r="B191" s="32"/>
      <c r="C191" s="45" t="s">
        <v>745</v>
      </c>
      <c r="D191" s="45"/>
      <c r="E191" s="45"/>
      <c r="F191" s="45"/>
      <c r="G191" s="45"/>
      <c r="H191" s="45"/>
      <c r="I191" s="45"/>
      <c r="J191" s="45"/>
      <c r="K191" s="45"/>
      <c r="L191" s="45"/>
      <c r="M191" s="45"/>
      <c r="N191" s="45"/>
      <c r="O191" s="45"/>
      <c r="P191" s="45"/>
      <c r="Q191" s="45"/>
    </row>
    <row r="192" spans="1:17" ht="19.95" customHeight="1">
      <c r="A192" s="32"/>
      <c r="B192" s="32"/>
      <c r="C192" s="45"/>
      <c r="D192" s="45"/>
      <c r="E192" s="45"/>
      <c r="F192" s="45"/>
      <c r="G192" s="45"/>
      <c r="H192" s="45"/>
      <c r="I192" s="45"/>
      <c r="J192" s="45"/>
      <c r="K192" s="45"/>
      <c r="L192" s="45"/>
      <c r="M192" s="45"/>
      <c r="N192" s="45"/>
      <c r="O192" s="45"/>
      <c r="P192" s="45"/>
      <c r="Q192" s="45"/>
    </row>
    <row r="193" spans="1:17" ht="19.95" customHeight="1">
      <c r="A193" s="32"/>
      <c r="B193" s="32"/>
      <c r="C193" s="32"/>
      <c r="D193" s="32"/>
      <c r="E193" s="32"/>
      <c r="F193" s="32"/>
      <c r="G193" s="32"/>
      <c r="H193" s="32"/>
      <c r="I193" s="32"/>
      <c r="J193" s="32"/>
      <c r="K193" s="32"/>
      <c r="L193" s="32"/>
      <c r="M193" s="32"/>
      <c r="N193" s="32"/>
      <c r="O193" s="32"/>
      <c r="P193" s="32"/>
      <c r="Q193" s="32"/>
    </row>
    <row r="194" spans="1:17" ht="28.05" customHeight="1">
      <c r="A194" s="32"/>
      <c r="B194" s="32"/>
      <c r="C194" s="43" t="s">
        <v>746</v>
      </c>
      <c r="D194" s="43"/>
      <c r="E194" s="43"/>
      <c r="F194" s="43"/>
      <c r="G194" s="43"/>
      <c r="H194" s="43"/>
      <c r="I194" s="43"/>
      <c r="J194" s="43"/>
      <c r="K194" s="43"/>
      <c r="L194" s="43"/>
      <c r="M194" s="43"/>
      <c r="N194" s="43"/>
      <c r="O194" s="43"/>
      <c r="P194" s="43"/>
      <c r="Q194" s="43"/>
    </row>
    <row r="195" spans="1:17" ht="19.95" customHeight="1">
      <c r="A195" s="32"/>
      <c r="B195" s="32"/>
      <c r="C195" s="52" t="s">
        <v>709</v>
      </c>
      <c r="D195" s="52"/>
      <c r="E195" s="52"/>
      <c r="F195" s="52"/>
      <c r="G195" s="52"/>
      <c r="H195" s="52"/>
      <c r="I195" s="52"/>
      <c r="J195" s="32"/>
      <c r="K195" s="53" t="s">
        <v>710</v>
      </c>
      <c r="L195" s="53"/>
      <c r="M195" s="53"/>
      <c r="N195" s="53"/>
      <c r="O195" s="53"/>
      <c r="P195" s="53"/>
      <c r="Q195" s="53"/>
    </row>
    <row r="196" spans="1:17" ht="19.95" customHeight="1">
      <c r="A196" s="32"/>
      <c r="B196" s="32"/>
      <c r="C196" s="54" t="s">
        <v>747</v>
      </c>
      <c r="D196" s="54"/>
      <c r="E196" s="54"/>
      <c r="F196" s="54"/>
      <c r="G196" s="54"/>
      <c r="H196" s="54"/>
      <c r="I196" s="54"/>
      <c r="J196" s="32"/>
      <c r="K196" s="56" t="str">
        <f>IF(LEN(C196)=0,"[작성 필요]",C196)&amp;" 비교 후보: Myoovi·Livia·Beurer EM50(저주파), ThermaCare(온열), 풀리오·클럭(일반 마사지). 상세 비교는 별도 경쟁 분석표를 기준으로 업데이트한다."</f>
        <v>고객이 현재 선택하는 대안은 온열팩, 손 지압·마사지, 저주파 자극 기기, 일반 마사지기 등이다. 제품별로 사용 부위·목적·규제 분류가 달라 모두를 동일한 직접 경쟁사로 간주하지 않는다. 가격뿐 아니라 사용 편의, 소모품, 반복 사용 부담과 실제 지불 의사를 비교한다. 비교 후보: Myoovi·Livia·Beurer EM50(저주파), ThermaCare(온열), 풀리오·클럭(일반 마사지). 상세 비교는 별도 경쟁 분석표를 기준으로 업데이트한다.</v>
      </c>
      <c r="L196" s="56"/>
      <c r="M196" s="56"/>
      <c r="N196" s="56"/>
      <c r="O196" s="56"/>
      <c r="P196" s="56"/>
      <c r="Q196" s="56"/>
    </row>
    <row r="197" spans="1:17" ht="19.95" customHeight="1">
      <c r="A197" s="32"/>
      <c r="B197" s="32"/>
      <c r="C197" s="54"/>
      <c r="D197" s="54"/>
      <c r="E197" s="54"/>
      <c r="F197" s="54"/>
      <c r="G197" s="54"/>
      <c r="H197" s="54"/>
      <c r="I197" s="54"/>
      <c r="J197" s="32"/>
      <c r="K197" s="56"/>
      <c r="L197" s="56"/>
      <c r="M197" s="56"/>
      <c r="N197" s="56"/>
      <c r="O197" s="56"/>
      <c r="P197" s="56"/>
      <c r="Q197" s="56"/>
    </row>
    <row r="198" spans="1:17" ht="19.95" customHeight="1">
      <c r="A198" s="32"/>
      <c r="B198" s="32"/>
      <c r="C198" s="54"/>
      <c r="D198" s="54"/>
      <c r="E198" s="54"/>
      <c r="F198" s="54"/>
      <c r="G198" s="54"/>
      <c r="H198" s="54"/>
      <c r="I198" s="54"/>
      <c r="J198" s="32"/>
      <c r="K198" s="56"/>
      <c r="L198" s="56"/>
      <c r="M198" s="56"/>
      <c r="N198" s="56"/>
      <c r="O198" s="56"/>
      <c r="P198" s="56"/>
      <c r="Q198" s="56"/>
    </row>
    <row r="199" spans="1:17" ht="19.95" customHeight="1">
      <c r="A199" s="32"/>
      <c r="B199" s="32"/>
      <c r="C199" s="54"/>
      <c r="D199" s="54"/>
      <c r="E199" s="54"/>
      <c r="F199" s="54"/>
      <c r="G199" s="54"/>
      <c r="H199" s="54"/>
      <c r="I199" s="54"/>
      <c r="J199" s="32"/>
      <c r="K199" s="56"/>
      <c r="L199" s="56"/>
      <c r="M199" s="56"/>
      <c r="N199" s="56"/>
      <c r="O199" s="56"/>
      <c r="P199" s="56"/>
      <c r="Q199" s="56"/>
    </row>
    <row r="200" spans="1:17" ht="19.95" customHeight="1">
      <c r="A200" s="32"/>
      <c r="B200" s="32"/>
      <c r="C200" s="54"/>
      <c r="D200" s="54"/>
      <c r="E200" s="54"/>
      <c r="F200" s="54"/>
      <c r="G200" s="54"/>
      <c r="H200" s="54"/>
      <c r="I200" s="54"/>
      <c r="J200" s="32"/>
      <c r="K200" s="56"/>
      <c r="L200" s="56"/>
      <c r="M200" s="56"/>
      <c r="N200" s="56"/>
      <c r="O200" s="56"/>
      <c r="P200" s="56"/>
      <c r="Q200" s="56"/>
    </row>
    <row r="201" spans="1:17" ht="19.95" customHeight="1">
      <c r="A201" s="32"/>
      <c r="B201" s="32"/>
      <c r="C201" s="54"/>
      <c r="D201" s="54"/>
      <c r="E201" s="54"/>
      <c r="F201" s="54"/>
      <c r="G201" s="54"/>
      <c r="H201" s="54"/>
      <c r="I201" s="54"/>
      <c r="J201" s="32"/>
      <c r="K201" s="56"/>
      <c r="L201" s="56"/>
      <c r="M201" s="56"/>
      <c r="N201" s="56"/>
      <c r="O201" s="56"/>
      <c r="P201" s="56"/>
      <c r="Q201" s="56"/>
    </row>
    <row r="202" spans="1:17" ht="19.95" customHeight="1">
      <c r="A202" s="32"/>
      <c r="B202" s="32"/>
      <c r="C202" s="54"/>
      <c r="D202" s="54"/>
      <c r="E202" s="54"/>
      <c r="F202" s="54"/>
      <c r="G202" s="54"/>
      <c r="H202" s="54"/>
      <c r="I202" s="54"/>
      <c r="J202" s="32"/>
      <c r="K202" s="56"/>
      <c r="L202" s="56"/>
      <c r="M202" s="56"/>
      <c r="N202" s="56"/>
      <c r="O202" s="56"/>
      <c r="P202" s="56"/>
      <c r="Q202" s="56"/>
    </row>
    <row r="203" spans="1:17" ht="19.95" customHeight="1">
      <c r="A203" s="32"/>
      <c r="B203" s="32"/>
      <c r="C203" s="54"/>
      <c r="D203" s="54"/>
      <c r="E203" s="54"/>
      <c r="F203" s="54"/>
      <c r="G203" s="54"/>
      <c r="H203" s="54"/>
      <c r="I203" s="54"/>
      <c r="J203" s="32"/>
      <c r="K203" s="56"/>
      <c r="L203" s="56"/>
      <c r="M203" s="56"/>
      <c r="N203" s="56"/>
      <c r="O203" s="56"/>
      <c r="P203" s="56"/>
      <c r="Q203" s="56"/>
    </row>
    <row r="204" spans="1:17" ht="19.95" customHeight="1">
      <c r="A204" s="32"/>
      <c r="B204" s="32"/>
      <c r="C204" s="45" t="s">
        <v>748</v>
      </c>
      <c r="D204" s="45"/>
      <c r="E204" s="45"/>
      <c r="F204" s="45"/>
      <c r="G204" s="45"/>
      <c r="H204" s="45"/>
      <c r="I204" s="45"/>
      <c r="J204" s="45"/>
      <c r="K204" s="45"/>
      <c r="L204" s="45"/>
      <c r="M204" s="45"/>
      <c r="N204" s="45"/>
      <c r="O204" s="45"/>
      <c r="P204" s="45"/>
      <c r="Q204" s="45"/>
    </row>
    <row r="205" spans="1:17" ht="19.95" customHeight="1">
      <c r="A205" s="32"/>
      <c r="B205" s="32"/>
      <c r="C205" s="45"/>
      <c r="D205" s="45"/>
      <c r="E205" s="45"/>
      <c r="F205" s="45"/>
      <c r="G205" s="45"/>
      <c r="H205" s="45"/>
      <c r="I205" s="45"/>
      <c r="J205" s="45"/>
      <c r="K205" s="45"/>
      <c r="L205" s="45"/>
      <c r="M205" s="45"/>
      <c r="N205" s="45"/>
      <c r="O205" s="45"/>
      <c r="P205" s="45"/>
      <c r="Q205" s="45"/>
    </row>
    <row r="206" spans="1:17" ht="19.95" customHeight="1">
      <c r="A206" s="32"/>
      <c r="B206" s="32"/>
      <c r="C206" s="32"/>
      <c r="D206" s="32"/>
      <c r="E206" s="32"/>
      <c r="F206" s="32"/>
      <c r="G206" s="32"/>
      <c r="H206" s="32"/>
      <c r="I206" s="32"/>
      <c r="J206" s="32"/>
      <c r="K206" s="32"/>
      <c r="L206" s="32"/>
      <c r="M206" s="32"/>
      <c r="N206" s="32"/>
      <c r="O206" s="32"/>
      <c r="P206" s="32"/>
      <c r="Q206" s="32"/>
    </row>
    <row r="207" spans="1:17" ht="19.95" customHeight="1">
      <c r="A207" s="32"/>
      <c r="B207" s="32"/>
      <c r="C207" s="43" t="s">
        <v>749</v>
      </c>
      <c r="D207" s="43"/>
      <c r="E207" s="43"/>
      <c r="F207" s="43"/>
      <c r="G207" s="43"/>
      <c r="H207" s="43"/>
      <c r="I207" s="43"/>
      <c r="J207" s="43"/>
      <c r="K207" s="43"/>
      <c r="L207" s="43"/>
      <c r="M207" s="43"/>
      <c r="N207" s="43"/>
      <c r="O207" s="43"/>
      <c r="P207" s="43"/>
      <c r="Q207" s="43"/>
    </row>
    <row r="208" spans="1:17" ht="19.95" customHeight="1">
      <c r="A208" s="32"/>
      <c r="B208" s="32"/>
      <c r="C208" s="57" t="s">
        <v>750</v>
      </c>
      <c r="D208" s="57"/>
      <c r="E208" s="57"/>
      <c r="F208" s="57"/>
      <c r="G208" s="48" t="s">
        <v>751</v>
      </c>
      <c r="H208" s="48"/>
      <c r="I208" s="48"/>
      <c r="J208" s="48"/>
      <c r="K208" s="48"/>
      <c r="L208" s="48"/>
      <c r="M208" s="48"/>
      <c r="N208" s="45" t="s">
        <v>752</v>
      </c>
      <c r="O208" s="45"/>
      <c r="P208" s="45"/>
      <c r="Q208" s="45"/>
    </row>
    <row r="209" spans="1:17" ht="19.95" customHeight="1">
      <c r="A209" s="32"/>
      <c r="B209" s="32"/>
      <c r="C209" s="57"/>
      <c r="D209" s="57"/>
      <c r="E209" s="57"/>
      <c r="F209" s="57"/>
      <c r="G209" s="48"/>
      <c r="H209" s="48"/>
      <c r="I209" s="48"/>
      <c r="J209" s="48"/>
      <c r="K209" s="48"/>
      <c r="L209" s="48"/>
      <c r="M209" s="48"/>
      <c r="N209" s="45"/>
      <c r="O209" s="45"/>
      <c r="P209" s="45"/>
      <c r="Q209" s="45"/>
    </row>
    <row r="210" spans="1:17" ht="19.95" customHeight="1">
      <c r="A210" s="32"/>
      <c r="B210" s="32"/>
      <c r="C210" s="57" t="s">
        <v>753</v>
      </c>
      <c r="D210" s="57"/>
      <c r="E210" s="57"/>
      <c r="F210" s="57"/>
      <c r="G210" s="48" t="s">
        <v>754</v>
      </c>
      <c r="H210" s="48"/>
      <c r="I210" s="48"/>
      <c r="J210" s="48"/>
      <c r="K210" s="48"/>
      <c r="L210" s="48"/>
      <c r="M210" s="48"/>
      <c r="N210" s="45" t="s">
        <v>755</v>
      </c>
      <c r="O210" s="45"/>
      <c r="P210" s="45"/>
      <c r="Q210" s="45"/>
    </row>
    <row r="211" spans="1:17" ht="19.95" customHeight="1">
      <c r="A211" s="32"/>
      <c r="B211" s="32"/>
      <c r="C211" s="57"/>
      <c r="D211" s="57"/>
      <c r="E211" s="57"/>
      <c r="F211" s="57"/>
      <c r="G211" s="48"/>
      <c r="H211" s="48"/>
      <c r="I211" s="48"/>
      <c r="J211" s="48"/>
      <c r="K211" s="48"/>
      <c r="L211" s="48"/>
      <c r="M211" s="48"/>
      <c r="N211" s="45"/>
      <c r="O211" s="45"/>
      <c r="P211" s="45"/>
      <c r="Q211" s="45"/>
    </row>
    <row r="212" spans="1:17" ht="19.95" customHeight="1">
      <c r="A212" s="32"/>
      <c r="B212" s="32"/>
      <c r="C212" s="57" t="s">
        <v>756</v>
      </c>
      <c r="D212" s="57"/>
      <c r="E212" s="57"/>
      <c r="F212" s="57"/>
      <c r="G212" s="48" t="s">
        <v>757</v>
      </c>
      <c r="H212" s="48"/>
      <c r="I212" s="48"/>
      <c r="J212" s="48"/>
      <c r="K212" s="48"/>
      <c r="L212" s="48"/>
      <c r="M212" s="48"/>
      <c r="N212" s="45" t="s">
        <v>758</v>
      </c>
      <c r="O212" s="45"/>
      <c r="P212" s="45"/>
      <c r="Q212" s="45"/>
    </row>
    <row r="213" spans="1:17" ht="19.95" customHeight="1">
      <c r="A213" s="32"/>
      <c r="B213" s="32"/>
      <c r="C213" s="57"/>
      <c r="D213" s="57"/>
      <c r="E213" s="57"/>
      <c r="F213" s="57"/>
      <c r="G213" s="48"/>
      <c r="H213" s="48"/>
      <c r="I213" s="48"/>
      <c r="J213" s="48"/>
      <c r="K213" s="48"/>
      <c r="L213" s="48"/>
      <c r="M213" s="48"/>
      <c r="N213" s="45"/>
      <c r="O213" s="45"/>
      <c r="P213" s="45"/>
      <c r="Q213" s="45"/>
    </row>
    <row r="214" spans="1:17" ht="19.95" customHeight="1">
      <c r="A214" s="32"/>
      <c r="B214" s="32"/>
      <c r="C214" s="57" t="s">
        <v>759</v>
      </c>
      <c r="D214" s="57"/>
      <c r="E214" s="57"/>
      <c r="F214" s="57"/>
      <c r="G214" s="48" t="s">
        <v>760</v>
      </c>
      <c r="H214" s="48"/>
      <c r="I214" s="48"/>
      <c r="J214" s="48"/>
      <c r="K214" s="48"/>
      <c r="L214" s="48"/>
      <c r="M214" s="48"/>
      <c r="N214" s="45" t="s">
        <v>761</v>
      </c>
      <c r="O214" s="45"/>
      <c r="P214" s="45"/>
      <c r="Q214" s="45"/>
    </row>
    <row r="215" spans="1:17" ht="19.95" customHeight="1">
      <c r="A215" s="32"/>
      <c r="B215" s="32"/>
      <c r="C215" s="57"/>
      <c r="D215" s="57"/>
      <c r="E215" s="57"/>
      <c r="F215" s="57"/>
      <c r="G215" s="48"/>
      <c r="H215" s="48"/>
      <c r="I215" s="48"/>
      <c r="J215" s="48"/>
      <c r="K215" s="48"/>
      <c r="L215" s="48"/>
      <c r="M215" s="48"/>
      <c r="N215" s="45"/>
      <c r="O215" s="45"/>
      <c r="P215" s="45"/>
      <c r="Q215" s="45"/>
    </row>
    <row r="216" spans="1:17" ht="19.95" customHeight="1">
      <c r="A216" s="32"/>
      <c r="B216" s="32"/>
      <c r="C216" s="57" t="s">
        <v>762</v>
      </c>
      <c r="D216" s="57"/>
      <c r="E216" s="57"/>
      <c r="F216" s="57"/>
      <c r="G216" s="48" t="s">
        <v>763</v>
      </c>
      <c r="H216" s="48"/>
      <c r="I216" s="48"/>
      <c r="J216" s="48"/>
      <c r="K216" s="48"/>
      <c r="L216" s="48"/>
      <c r="M216" s="48"/>
      <c r="N216" s="45" t="s">
        <v>764</v>
      </c>
      <c r="O216" s="45"/>
      <c r="P216" s="45"/>
      <c r="Q216" s="45"/>
    </row>
    <row r="217" spans="1:17" ht="19.95" customHeight="1">
      <c r="A217" s="32"/>
      <c r="B217" s="32"/>
      <c r="C217" s="57"/>
      <c r="D217" s="57"/>
      <c r="E217" s="57"/>
      <c r="F217" s="57"/>
      <c r="G217" s="48"/>
      <c r="H217" s="48"/>
      <c r="I217" s="48"/>
      <c r="J217" s="48"/>
      <c r="K217" s="48"/>
      <c r="L217" s="48"/>
      <c r="M217" s="48"/>
      <c r="N217" s="45"/>
      <c r="O217" s="45"/>
      <c r="P217" s="45"/>
      <c r="Q217" s="45"/>
    </row>
    <row r="218" spans="1:17" ht="19.95" customHeight="1">
      <c r="A218" s="32"/>
      <c r="B218" s="32"/>
      <c r="C218" s="57" t="s">
        <v>765</v>
      </c>
      <c r="D218" s="57"/>
      <c r="E218" s="57"/>
      <c r="F218" s="57"/>
      <c r="G218" s="48" t="s">
        <v>766</v>
      </c>
      <c r="H218" s="48"/>
      <c r="I218" s="48"/>
      <c r="J218" s="48"/>
      <c r="K218" s="48"/>
      <c r="L218" s="48"/>
      <c r="M218" s="48"/>
      <c r="N218" s="45" t="s">
        <v>767</v>
      </c>
      <c r="O218" s="45"/>
      <c r="P218" s="45"/>
      <c r="Q218" s="45"/>
    </row>
    <row r="219" spans="1:17" ht="19.95" customHeight="1">
      <c r="A219" s="32"/>
      <c r="B219" s="32"/>
      <c r="C219" s="57"/>
      <c r="D219" s="57"/>
      <c r="E219" s="57"/>
      <c r="F219" s="57"/>
      <c r="G219" s="48"/>
      <c r="H219" s="48"/>
      <c r="I219" s="48"/>
      <c r="J219" s="48"/>
      <c r="K219" s="48"/>
      <c r="L219" s="48"/>
      <c r="M219" s="48"/>
      <c r="N219" s="45"/>
      <c r="O219" s="45"/>
      <c r="P219" s="45"/>
      <c r="Q219" s="45"/>
    </row>
    <row r="220" spans="1:17" ht="19.95" customHeight="1">
      <c r="A220" s="32"/>
      <c r="B220" s="32"/>
      <c r="C220" s="32"/>
      <c r="D220" s="32"/>
      <c r="E220" s="32"/>
      <c r="F220" s="32"/>
      <c r="G220" s="32"/>
      <c r="H220" s="32"/>
      <c r="I220" s="32"/>
      <c r="J220" s="32"/>
      <c r="K220" s="32"/>
      <c r="L220" s="32"/>
      <c r="M220" s="32"/>
      <c r="N220" s="32"/>
      <c r="O220" s="32"/>
      <c r="P220" s="32"/>
      <c r="Q220" s="32"/>
    </row>
    <row r="221" spans="1:17" ht="19.95" customHeight="1">
      <c r="A221" s="32"/>
      <c r="B221" s="32"/>
      <c r="C221" s="42" t="s">
        <v>768</v>
      </c>
      <c r="D221" s="42"/>
      <c r="E221" s="42"/>
      <c r="F221" s="42"/>
      <c r="G221" s="42"/>
      <c r="H221" s="42"/>
      <c r="I221" s="42"/>
      <c r="J221" s="42"/>
      <c r="K221" s="42"/>
      <c r="L221" s="42"/>
      <c r="M221" s="42"/>
      <c r="N221" s="42"/>
      <c r="O221" s="42"/>
      <c r="P221" s="42"/>
      <c r="Q221" s="42"/>
    </row>
    <row r="222" spans="1:17" ht="19.95" customHeight="1">
      <c r="A222" s="32"/>
      <c r="B222" s="32"/>
      <c r="C222" s="42"/>
      <c r="D222" s="42"/>
      <c r="E222" s="42"/>
      <c r="F222" s="42"/>
      <c r="G222" s="42"/>
      <c r="H222" s="42"/>
      <c r="I222" s="42"/>
      <c r="J222" s="42"/>
      <c r="K222" s="42"/>
      <c r="L222" s="42"/>
      <c r="M222" s="42"/>
      <c r="N222" s="42"/>
      <c r="O222" s="42"/>
      <c r="P222" s="42"/>
      <c r="Q222" s="42"/>
    </row>
    <row r="223" spans="1:17" ht="19.95" customHeight="1">
      <c r="A223" s="32"/>
      <c r="B223" s="32"/>
      <c r="C223" s="42"/>
      <c r="D223" s="42"/>
      <c r="E223" s="42"/>
      <c r="F223" s="42"/>
      <c r="G223" s="42"/>
      <c r="H223" s="42"/>
      <c r="I223" s="42"/>
      <c r="J223" s="42"/>
      <c r="K223" s="42"/>
      <c r="L223" s="42"/>
      <c r="M223" s="42"/>
      <c r="N223" s="42"/>
      <c r="O223" s="42"/>
      <c r="P223" s="42"/>
      <c r="Q223" s="42"/>
    </row>
    <row r="224" spans="1:17" ht="19.95" customHeight="1">
      <c r="A224" s="32"/>
      <c r="B224" s="32"/>
      <c r="C224" s="32"/>
      <c r="D224" s="32"/>
      <c r="E224" s="32"/>
      <c r="F224" s="32"/>
      <c r="G224" s="32"/>
      <c r="H224" s="32"/>
      <c r="I224" s="32"/>
      <c r="J224" s="32"/>
      <c r="K224" s="32"/>
      <c r="L224" s="32"/>
      <c r="M224" s="32"/>
      <c r="N224" s="32"/>
      <c r="O224" s="32"/>
      <c r="P224" s="32"/>
      <c r="Q224" s="32"/>
    </row>
    <row r="225" spans="1:17" ht="19.95" customHeight="1">
      <c r="A225" s="32"/>
      <c r="B225" s="32"/>
      <c r="C225" s="32"/>
      <c r="D225" s="32"/>
      <c r="E225" s="32"/>
      <c r="F225" s="32"/>
      <c r="G225" s="32"/>
      <c r="H225" s="32"/>
      <c r="I225" s="32"/>
      <c r="J225" s="32"/>
      <c r="K225" s="32"/>
      <c r="L225" s="32"/>
      <c r="M225" s="32"/>
      <c r="N225" s="32"/>
      <c r="O225" s="32"/>
      <c r="P225" s="32"/>
      <c r="Q225" s="32"/>
    </row>
    <row r="226" spans="1:17" ht="19.95" customHeight="1">
      <c r="A226" s="32"/>
      <c r="B226" s="32"/>
      <c r="C226" s="32"/>
      <c r="D226" s="32"/>
      <c r="E226" s="32"/>
      <c r="F226" s="32"/>
      <c r="G226" s="32"/>
      <c r="H226" s="32"/>
      <c r="I226" s="32"/>
      <c r="J226" s="32"/>
      <c r="K226" s="32"/>
      <c r="L226" s="32"/>
      <c r="M226" s="32"/>
      <c r="N226" s="32"/>
      <c r="O226" s="32"/>
      <c r="P226" s="32"/>
      <c r="Q226" s="32"/>
    </row>
    <row r="227" spans="1:17" ht="19.95" customHeight="1">
      <c r="A227" s="32"/>
      <c r="B227" s="32"/>
      <c r="C227" s="32"/>
      <c r="D227" s="32"/>
      <c r="E227" s="32"/>
      <c r="F227" s="32"/>
      <c r="G227" s="32"/>
      <c r="H227" s="32"/>
      <c r="I227" s="32"/>
      <c r="J227" s="32"/>
      <c r="K227" s="32"/>
      <c r="L227" s="32"/>
      <c r="M227" s="32"/>
      <c r="N227" s="32"/>
      <c r="O227" s="32"/>
      <c r="P227" s="32"/>
      <c r="Q227" s="32"/>
    </row>
    <row r="228" spans="1:17" ht="19.95" customHeight="1">
      <c r="A228" s="32"/>
      <c r="B228" s="32"/>
      <c r="C228" s="32"/>
      <c r="D228" s="32"/>
      <c r="E228" s="32"/>
      <c r="F228" s="32"/>
      <c r="G228" s="32"/>
      <c r="H228" s="32"/>
      <c r="I228" s="32"/>
      <c r="J228" s="32"/>
      <c r="K228" s="32"/>
      <c r="L228" s="32"/>
      <c r="M228" s="32"/>
      <c r="N228" s="32"/>
      <c r="O228" s="32"/>
      <c r="P228" s="32"/>
      <c r="Q228" s="32"/>
    </row>
    <row r="229" spans="1:17" ht="19.95" customHeight="1">
      <c r="A229" s="32"/>
      <c r="B229" s="32"/>
      <c r="C229" s="32"/>
      <c r="D229" s="32"/>
      <c r="E229" s="32"/>
      <c r="F229" s="32"/>
      <c r="G229" s="32"/>
      <c r="H229" s="32"/>
      <c r="I229" s="32"/>
      <c r="J229" s="32"/>
      <c r="K229" s="32"/>
      <c r="L229" s="32"/>
      <c r="M229" s="32"/>
      <c r="N229" s="32"/>
      <c r="O229" s="32"/>
      <c r="P229" s="32"/>
      <c r="Q229" s="32"/>
    </row>
    <row r="230" spans="1:17" ht="19.95" customHeight="1">
      <c r="A230" s="32"/>
      <c r="B230" s="32"/>
      <c r="C230" s="32"/>
      <c r="D230" s="32"/>
      <c r="E230" s="32"/>
      <c r="F230" s="32"/>
      <c r="G230" s="32"/>
      <c r="H230" s="32"/>
      <c r="I230" s="32"/>
      <c r="J230" s="32"/>
      <c r="K230" s="32"/>
      <c r="L230" s="32"/>
      <c r="M230" s="32"/>
      <c r="N230" s="32"/>
      <c r="O230" s="32"/>
      <c r="P230" s="32"/>
      <c r="Q230" s="32"/>
    </row>
    <row r="231" spans="1:17" ht="19.95" customHeight="1">
      <c r="A231" s="32"/>
      <c r="B231" s="32"/>
      <c r="C231" s="32"/>
      <c r="D231" s="32"/>
      <c r="E231" s="32"/>
      <c r="F231" s="32"/>
      <c r="G231" s="32"/>
      <c r="H231" s="32"/>
      <c r="I231" s="32"/>
      <c r="J231" s="32"/>
      <c r="K231" s="32"/>
      <c r="L231" s="32"/>
      <c r="M231" s="32"/>
      <c r="N231" s="32"/>
      <c r="O231" s="32"/>
      <c r="P231" s="32"/>
      <c r="Q231" s="32"/>
    </row>
    <row r="232" spans="1:17" ht="19.95" customHeight="1">
      <c r="A232" s="32"/>
      <c r="B232" s="32"/>
      <c r="C232" s="32"/>
      <c r="D232" s="32"/>
      <c r="E232" s="32"/>
      <c r="F232" s="32"/>
      <c r="G232" s="32"/>
      <c r="H232" s="32"/>
      <c r="I232" s="32"/>
      <c r="J232" s="32"/>
      <c r="K232" s="32"/>
      <c r="L232" s="32"/>
      <c r="M232" s="32"/>
      <c r="N232" s="32"/>
      <c r="O232" s="32"/>
      <c r="P232" s="32"/>
      <c r="Q232" s="32"/>
    </row>
    <row r="233" spans="1:17" ht="19.95" customHeight="1">
      <c r="A233" s="32"/>
      <c r="B233" s="32"/>
      <c r="C233" s="32"/>
      <c r="D233" s="32"/>
      <c r="E233" s="32"/>
      <c r="F233" s="32"/>
      <c r="G233" s="32"/>
      <c r="H233" s="32"/>
      <c r="I233" s="32"/>
      <c r="J233" s="32"/>
      <c r="K233" s="32"/>
      <c r="L233" s="32"/>
      <c r="M233" s="32"/>
      <c r="N233" s="32"/>
      <c r="O233" s="32"/>
      <c r="P233" s="32"/>
      <c r="Q233" s="32"/>
    </row>
    <row r="234" spans="1:17" ht="19.95" customHeight="1">
      <c r="A234" s="32"/>
      <c r="B234" s="32"/>
      <c r="C234" s="32"/>
      <c r="D234" s="32"/>
      <c r="E234" s="32"/>
      <c r="F234" s="32"/>
      <c r="G234" s="32"/>
      <c r="H234" s="32"/>
      <c r="I234" s="32"/>
      <c r="J234" s="32"/>
      <c r="K234" s="32"/>
      <c r="L234" s="32"/>
      <c r="M234" s="32"/>
      <c r="N234" s="32"/>
      <c r="O234" s="32"/>
      <c r="P234" s="32"/>
      <c r="Q234" s="32"/>
    </row>
    <row r="235" spans="1:17" ht="19.95" customHeight="1">
      <c r="A235" s="32"/>
      <c r="B235" s="32"/>
      <c r="C235" s="32"/>
      <c r="D235" s="32"/>
      <c r="E235" s="32"/>
      <c r="F235" s="32"/>
      <c r="G235" s="32"/>
      <c r="H235" s="32"/>
      <c r="I235" s="32"/>
      <c r="J235" s="32"/>
      <c r="K235" s="32"/>
      <c r="L235" s="32"/>
      <c r="M235" s="32"/>
      <c r="N235" s="32"/>
      <c r="O235" s="32"/>
      <c r="P235" s="32"/>
      <c r="Q235" s="32"/>
    </row>
    <row r="236" spans="1:17" ht="19.95" customHeight="1">
      <c r="A236" s="32"/>
      <c r="B236" s="32"/>
      <c r="C236" s="32"/>
      <c r="D236" s="32"/>
      <c r="E236" s="32"/>
      <c r="F236" s="32"/>
      <c r="G236" s="32"/>
      <c r="H236" s="32"/>
      <c r="I236" s="32"/>
      <c r="J236" s="32"/>
      <c r="K236" s="32"/>
      <c r="L236" s="32"/>
      <c r="M236" s="32"/>
      <c r="N236" s="32"/>
      <c r="O236" s="32"/>
      <c r="P236" s="32"/>
      <c r="Q236" s="32"/>
    </row>
    <row r="237" spans="1:17" ht="19.95" customHeight="1">
      <c r="A237" s="32"/>
      <c r="B237" s="32"/>
      <c r="C237" s="32"/>
      <c r="D237" s="32"/>
      <c r="E237" s="32"/>
      <c r="F237" s="32"/>
      <c r="G237" s="32"/>
      <c r="H237" s="32"/>
      <c r="I237" s="32"/>
      <c r="J237" s="32"/>
      <c r="K237" s="32"/>
      <c r="L237" s="32"/>
      <c r="M237" s="32"/>
      <c r="N237" s="32"/>
      <c r="O237" s="32"/>
      <c r="P237" s="32"/>
      <c r="Q237" s="32"/>
    </row>
    <row r="238" spans="1:17" ht="19.95" customHeight="1">
      <c r="A238" s="32"/>
      <c r="B238" s="32"/>
      <c r="C238" s="32"/>
      <c r="D238" s="32"/>
      <c r="E238" s="32"/>
      <c r="F238" s="32"/>
      <c r="G238" s="32"/>
      <c r="H238" s="32"/>
      <c r="I238" s="32"/>
      <c r="J238" s="32"/>
      <c r="K238" s="32"/>
      <c r="L238" s="32"/>
      <c r="M238" s="32"/>
      <c r="N238" s="32"/>
      <c r="O238" s="32"/>
      <c r="P238" s="32"/>
      <c r="Q238" s="32"/>
    </row>
    <row r="239" spans="1:17" ht="19.95" customHeight="1">
      <c r="A239" s="32"/>
      <c r="B239" s="32"/>
      <c r="C239" s="32"/>
      <c r="D239" s="32"/>
      <c r="E239" s="32"/>
      <c r="F239" s="32"/>
      <c r="G239" s="32"/>
      <c r="H239" s="32"/>
      <c r="I239" s="32"/>
      <c r="J239" s="32"/>
      <c r="K239" s="32"/>
      <c r="L239" s="32"/>
      <c r="M239" s="32"/>
      <c r="N239" s="32"/>
      <c r="O239" s="32"/>
      <c r="P239" s="32"/>
      <c r="Q239" s="32"/>
    </row>
    <row r="240" spans="1:17" ht="19.95" customHeight="1">
      <c r="A240" s="32"/>
      <c r="B240" s="32"/>
      <c r="C240" s="32"/>
      <c r="D240" s="32"/>
      <c r="E240" s="32"/>
      <c r="F240" s="32"/>
      <c r="G240" s="32"/>
      <c r="H240" s="32"/>
      <c r="I240" s="32"/>
      <c r="J240" s="32"/>
      <c r="K240" s="32"/>
      <c r="L240" s="32"/>
      <c r="M240" s="32"/>
      <c r="N240" s="32"/>
      <c r="O240" s="32"/>
      <c r="P240" s="32"/>
      <c r="Q240" s="32"/>
    </row>
    <row r="241" spans="1:17" ht="19.95" customHeight="1">
      <c r="A241" s="32"/>
      <c r="B241" s="32"/>
      <c r="C241" s="32"/>
      <c r="D241" s="32"/>
      <c r="E241" s="32"/>
      <c r="F241" s="32"/>
      <c r="G241" s="32"/>
      <c r="H241" s="32"/>
      <c r="I241" s="32"/>
      <c r="J241" s="32"/>
      <c r="K241" s="32"/>
      <c r="L241" s="32"/>
      <c r="M241" s="32"/>
      <c r="N241" s="32"/>
      <c r="O241" s="32"/>
      <c r="P241" s="32"/>
      <c r="Q241" s="32"/>
    </row>
    <row r="242" spans="1:17" ht="19.95" customHeight="1">
      <c r="A242" s="32"/>
      <c r="B242" s="32"/>
      <c r="C242" s="32"/>
      <c r="D242" s="32"/>
      <c r="E242" s="32"/>
      <c r="F242" s="32"/>
      <c r="G242" s="32"/>
      <c r="H242" s="32"/>
      <c r="I242" s="32"/>
      <c r="J242" s="32"/>
      <c r="K242" s="32"/>
      <c r="L242" s="32"/>
      <c r="M242" s="32"/>
      <c r="N242" s="32"/>
      <c r="O242" s="32"/>
      <c r="P242" s="32"/>
      <c r="Q242" s="32"/>
    </row>
    <row r="243" spans="1:17" ht="19.95" customHeight="1">
      <c r="A243" s="32"/>
      <c r="B243" s="32"/>
      <c r="C243" s="32"/>
      <c r="D243" s="32"/>
      <c r="E243" s="32"/>
      <c r="F243" s="32"/>
      <c r="G243" s="32"/>
      <c r="H243" s="32"/>
      <c r="I243" s="32"/>
      <c r="J243" s="32"/>
      <c r="K243" s="32"/>
      <c r="L243" s="32"/>
      <c r="M243" s="32"/>
      <c r="N243" s="32"/>
      <c r="O243" s="32"/>
      <c r="P243" s="32"/>
      <c r="Q243" s="32"/>
    </row>
    <row r="244" spans="1:17" ht="19.95" customHeight="1">
      <c r="A244" s="32"/>
      <c r="B244" s="32"/>
      <c r="C244" s="32"/>
      <c r="D244" s="32"/>
      <c r="E244" s="32"/>
      <c r="F244" s="32"/>
      <c r="G244" s="32"/>
      <c r="H244" s="32"/>
      <c r="I244" s="32"/>
      <c r="J244" s="32"/>
      <c r="K244" s="32"/>
      <c r="L244" s="32"/>
      <c r="M244" s="32"/>
      <c r="N244" s="32"/>
      <c r="O244" s="32"/>
      <c r="P244" s="32"/>
      <c r="Q244" s="32"/>
    </row>
    <row r="245" spans="1:17" ht="19.95" customHeight="1">
      <c r="A245" s="32"/>
      <c r="B245" s="32"/>
      <c r="C245" s="32"/>
      <c r="D245" s="32"/>
      <c r="E245" s="32"/>
      <c r="F245" s="32"/>
      <c r="G245" s="32"/>
      <c r="H245" s="32"/>
      <c r="I245" s="32"/>
      <c r="J245" s="32"/>
      <c r="K245" s="32"/>
      <c r="L245" s="32"/>
      <c r="M245" s="32"/>
      <c r="N245" s="32"/>
      <c r="O245" s="32"/>
      <c r="P245" s="32"/>
      <c r="Q245" s="32"/>
    </row>
    <row r="246" spans="1:17" ht="19.95" customHeight="1">
      <c r="A246" s="32"/>
      <c r="B246" s="32"/>
      <c r="C246" s="32"/>
      <c r="D246" s="32"/>
      <c r="E246" s="32"/>
      <c r="F246" s="32"/>
      <c r="G246" s="32"/>
      <c r="H246" s="32"/>
      <c r="I246" s="32"/>
      <c r="J246" s="32"/>
      <c r="K246" s="32"/>
      <c r="L246" s="32"/>
      <c r="M246" s="32"/>
      <c r="N246" s="32"/>
      <c r="O246" s="32"/>
      <c r="P246" s="32"/>
      <c r="Q246" s="32"/>
    </row>
    <row r="247" spans="1:17" ht="19.95" customHeight="1">
      <c r="A247" s="32"/>
      <c r="B247" s="32"/>
      <c r="C247" s="32"/>
      <c r="D247" s="32"/>
      <c r="E247" s="32"/>
      <c r="F247" s="32"/>
      <c r="G247" s="32"/>
      <c r="H247" s="32"/>
      <c r="I247" s="32"/>
      <c r="J247" s="32"/>
      <c r="K247" s="32"/>
      <c r="L247" s="32"/>
      <c r="M247" s="32"/>
      <c r="N247" s="32"/>
      <c r="O247" s="32"/>
      <c r="P247" s="32"/>
      <c r="Q247" s="32"/>
    </row>
    <row r="248" spans="1:17" ht="19.95" customHeight="1">
      <c r="A248" s="32"/>
      <c r="B248" s="32"/>
      <c r="C248" s="32"/>
      <c r="D248" s="32"/>
      <c r="E248" s="32"/>
      <c r="F248" s="32"/>
      <c r="G248" s="32"/>
      <c r="H248" s="32"/>
      <c r="I248" s="32"/>
      <c r="J248" s="32"/>
      <c r="K248" s="32"/>
      <c r="L248" s="32"/>
      <c r="M248" s="32"/>
      <c r="N248" s="32"/>
      <c r="O248" s="32"/>
      <c r="P248" s="32"/>
      <c r="Q248" s="32"/>
    </row>
    <row r="249" spans="1:17" ht="19.95" customHeight="1">
      <c r="A249" s="32"/>
      <c r="B249" s="32"/>
      <c r="C249" s="32"/>
      <c r="D249" s="32"/>
      <c r="E249" s="32"/>
      <c r="F249" s="32"/>
      <c r="G249" s="32"/>
      <c r="H249" s="32"/>
      <c r="I249" s="32"/>
      <c r="J249" s="32"/>
      <c r="K249" s="32"/>
      <c r="L249" s="32"/>
      <c r="M249" s="32"/>
      <c r="N249" s="32"/>
      <c r="O249" s="32"/>
      <c r="P249" s="32"/>
      <c r="Q249" s="32"/>
    </row>
    <row r="250" spans="1:17" ht="19.95" customHeight="1">
      <c r="A250" s="32"/>
      <c r="B250" s="32"/>
      <c r="C250" s="32"/>
      <c r="D250" s="32"/>
      <c r="E250" s="32"/>
      <c r="F250" s="32"/>
      <c r="G250" s="32"/>
      <c r="H250" s="32"/>
      <c r="I250" s="32"/>
      <c r="J250" s="32"/>
      <c r="K250" s="32"/>
      <c r="L250" s="32"/>
      <c r="M250" s="32"/>
      <c r="N250" s="32"/>
      <c r="O250" s="32"/>
      <c r="P250" s="32"/>
      <c r="Q250" s="32"/>
    </row>
    <row r="251" spans="1:17" ht="19.95" customHeight="1">
      <c r="A251" s="32"/>
      <c r="B251" s="32"/>
      <c r="C251" s="32"/>
      <c r="D251" s="32"/>
      <c r="E251" s="32"/>
      <c r="F251" s="32"/>
      <c r="G251" s="32"/>
      <c r="H251" s="32"/>
      <c r="I251" s="32"/>
      <c r="J251" s="32"/>
      <c r="K251" s="32"/>
      <c r="L251" s="32"/>
      <c r="M251" s="32"/>
      <c r="N251" s="32"/>
      <c r="O251" s="32"/>
      <c r="P251" s="32"/>
      <c r="Q251" s="32"/>
    </row>
    <row r="252" spans="1:17" ht="19.95" customHeight="1">
      <c r="A252" s="32"/>
      <c r="B252" s="32"/>
      <c r="C252" s="32"/>
      <c r="D252" s="32"/>
      <c r="E252" s="32"/>
      <c r="F252" s="32"/>
      <c r="G252" s="32"/>
      <c r="H252" s="32"/>
      <c r="I252" s="32"/>
      <c r="J252" s="32"/>
      <c r="K252" s="32"/>
      <c r="L252" s="32"/>
      <c r="M252" s="32"/>
      <c r="N252" s="32"/>
      <c r="O252" s="32"/>
      <c r="P252" s="32"/>
      <c r="Q252" s="32"/>
    </row>
    <row r="253" spans="1:17" ht="19.95" customHeight="1">
      <c r="A253" s="32"/>
      <c r="B253" s="32"/>
      <c r="C253" s="32"/>
      <c r="D253" s="32"/>
      <c r="E253" s="32"/>
      <c r="F253" s="32"/>
      <c r="G253" s="32"/>
      <c r="H253" s="32"/>
      <c r="I253" s="32"/>
      <c r="J253" s="32"/>
      <c r="K253" s="32"/>
      <c r="L253" s="32"/>
      <c r="M253" s="32"/>
      <c r="N253" s="32"/>
      <c r="O253" s="32"/>
      <c r="P253" s="32"/>
      <c r="Q253" s="32"/>
    </row>
    <row r="254" spans="1:17" ht="19.95" customHeight="1">
      <c r="A254" s="32"/>
      <c r="B254" s="32"/>
      <c r="C254" s="32"/>
      <c r="D254" s="32"/>
      <c r="E254" s="32"/>
      <c r="F254" s="32"/>
      <c r="G254" s="32"/>
      <c r="H254" s="32"/>
      <c r="I254" s="32"/>
      <c r="J254" s="32"/>
      <c r="K254" s="32"/>
      <c r="L254" s="32"/>
      <c r="M254" s="32"/>
      <c r="N254" s="32"/>
      <c r="O254" s="32"/>
      <c r="P254" s="32"/>
      <c r="Q254" s="32"/>
    </row>
    <row r="255" spans="1:17" ht="19.95" customHeight="1">
      <c r="A255" s="32"/>
      <c r="B255" s="32"/>
      <c r="C255" s="32"/>
      <c r="D255" s="32"/>
      <c r="E255" s="32"/>
      <c r="F255" s="32"/>
      <c r="G255" s="32"/>
      <c r="H255" s="32"/>
      <c r="I255" s="32"/>
      <c r="J255" s="32"/>
      <c r="K255" s="32"/>
      <c r="L255" s="32"/>
      <c r="M255" s="32"/>
      <c r="N255" s="32"/>
      <c r="O255" s="32"/>
      <c r="P255" s="32"/>
      <c r="Q255" s="32"/>
    </row>
    <row r="256" spans="1:17" ht="19.95" customHeight="1">
      <c r="A256" s="32"/>
      <c r="B256" s="32"/>
      <c r="C256" s="32"/>
      <c r="D256" s="32"/>
      <c r="E256" s="32"/>
      <c r="F256" s="32"/>
      <c r="G256" s="32"/>
      <c r="H256" s="32"/>
      <c r="I256" s="32"/>
      <c r="J256" s="32"/>
      <c r="K256" s="32"/>
      <c r="L256" s="32"/>
      <c r="M256" s="32"/>
      <c r="N256" s="32"/>
      <c r="O256" s="32"/>
      <c r="P256" s="32"/>
      <c r="Q256" s="32"/>
    </row>
    <row r="257" spans="1:17" ht="19.95" customHeight="1">
      <c r="A257" s="32"/>
      <c r="B257" s="32"/>
      <c r="C257" s="32"/>
      <c r="D257" s="32"/>
      <c r="E257" s="32"/>
      <c r="F257" s="32"/>
      <c r="G257" s="32"/>
      <c r="H257" s="32"/>
      <c r="I257" s="32"/>
      <c r="J257" s="32"/>
      <c r="K257" s="32"/>
      <c r="L257" s="32"/>
      <c r="M257" s="32"/>
      <c r="N257" s="32"/>
      <c r="O257" s="32"/>
      <c r="P257" s="32"/>
      <c r="Q257" s="32"/>
    </row>
    <row r="258" spans="1:17" ht="19.95" customHeight="1">
      <c r="A258" s="32"/>
      <c r="B258" s="32"/>
      <c r="C258" s="32"/>
      <c r="D258" s="32"/>
      <c r="E258" s="32"/>
      <c r="F258" s="32"/>
      <c r="G258" s="32"/>
      <c r="H258" s="32"/>
      <c r="I258" s="32"/>
      <c r="J258" s="32"/>
      <c r="K258" s="32"/>
      <c r="L258" s="32"/>
      <c r="M258" s="32"/>
      <c r="N258" s="32"/>
      <c r="O258" s="32"/>
      <c r="P258" s="32"/>
      <c r="Q258" s="32"/>
    </row>
    <row r="259" spans="1:17" ht="19.95" customHeight="1">
      <c r="A259" s="32"/>
      <c r="B259" s="32"/>
      <c r="C259" s="32"/>
      <c r="D259" s="32"/>
      <c r="E259" s="32"/>
      <c r="F259" s="32"/>
      <c r="G259" s="32"/>
      <c r="H259" s="32"/>
      <c r="I259" s="32"/>
      <c r="J259" s="32"/>
      <c r="K259" s="32"/>
      <c r="L259" s="32"/>
      <c r="M259" s="32"/>
      <c r="N259" s="32"/>
      <c r="O259" s="32"/>
      <c r="P259" s="32"/>
      <c r="Q259" s="32"/>
    </row>
    <row r="260" spans="1:17" ht="19.95" customHeight="1">
      <c r="A260" s="32"/>
      <c r="B260" s="32"/>
      <c r="C260" s="32"/>
      <c r="D260" s="32"/>
      <c r="E260" s="32"/>
      <c r="F260" s="32"/>
      <c r="G260" s="32"/>
      <c r="H260" s="32"/>
      <c r="I260" s="32"/>
      <c r="J260" s="32"/>
      <c r="K260" s="32"/>
      <c r="L260" s="32"/>
      <c r="M260" s="32"/>
      <c r="N260" s="32"/>
      <c r="O260" s="32"/>
      <c r="P260" s="32"/>
      <c r="Q260" s="32"/>
    </row>
  </sheetData>
  <mergeCells count="146">
    <mergeCell ref="C218:F219"/>
    <mergeCell ref="G218:M219"/>
    <mergeCell ref="N218:Q219"/>
    <mergeCell ref="C221:Q223"/>
    <mergeCell ref="C214:F215"/>
    <mergeCell ref="G214:M215"/>
    <mergeCell ref="N214:Q215"/>
    <mergeCell ref="C216:F217"/>
    <mergeCell ref="G216:M217"/>
    <mergeCell ref="N216:Q217"/>
    <mergeCell ref="C210:F211"/>
    <mergeCell ref="G210:M211"/>
    <mergeCell ref="N210:Q211"/>
    <mergeCell ref="C212:F213"/>
    <mergeCell ref="G212:M213"/>
    <mergeCell ref="N212:Q213"/>
    <mergeCell ref="C196:I203"/>
    <mergeCell ref="K196:Q203"/>
    <mergeCell ref="C204:Q205"/>
    <mergeCell ref="C207:Q207"/>
    <mergeCell ref="C208:F209"/>
    <mergeCell ref="G208:M209"/>
    <mergeCell ref="N208:Q209"/>
    <mergeCell ref="C179:I190"/>
    <mergeCell ref="K179:Q190"/>
    <mergeCell ref="C191:Q192"/>
    <mergeCell ref="C194:Q194"/>
    <mergeCell ref="C195:I195"/>
    <mergeCell ref="K195:Q195"/>
    <mergeCell ref="C168:I173"/>
    <mergeCell ref="K168:Q173"/>
    <mergeCell ref="C174:Q175"/>
    <mergeCell ref="C177:Q177"/>
    <mergeCell ref="C178:I178"/>
    <mergeCell ref="K178:Q178"/>
    <mergeCell ref="C158:I162"/>
    <mergeCell ref="K158:Q162"/>
    <mergeCell ref="C163:Q164"/>
    <mergeCell ref="C166:Q166"/>
    <mergeCell ref="C167:I167"/>
    <mergeCell ref="K167:Q167"/>
    <mergeCell ref="C140:I152"/>
    <mergeCell ref="K140:Q152"/>
    <mergeCell ref="C153:Q154"/>
    <mergeCell ref="C156:Q156"/>
    <mergeCell ref="C157:I157"/>
    <mergeCell ref="K157:Q157"/>
    <mergeCell ref="C127:I134"/>
    <mergeCell ref="K127:Q134"/>
    <mergeCell ref="C135:Q136"/>
    <mergeCell ref="C138:Q138"/>
    <mergeCell ref="C139:I139"/>
    <mergeCell ref="K139:Q139"/>
    <mergeCell ref="C108:I121"/>
    <mergeCell ref="K108:Q121"/>
    <mergeCell ref="C122:Q123"/>
    <mergeCell ref="C125:Q125"/>
    <mergeCell ref="C126:I126"/>
    <mergeCell ref="K126:Q126"/>
    <mergeCell ref="C92:I102"/>
    <mergeCell ref="K92:Q102"/>
    <mergeCell ref="C103:Q104"/>
    <mergeCell ref="C106:Q106"/>
    <mergeCell ref="C107:I107"/>
    <mergeCell ref="K107:Q107"/>
    <mergeCell ref="C80:I86"/>
    <mergeCell ref="K80:Q86"/>
    <mergeCell ref="C87:Q88"/>
    <mergeCell ref="C90:Q90"/>
    <mergeCell ref="C91:I91"/>
    <mergeCell ref="K91:Q91"/>
    <mergeCell ref="C67:I74"/>
    <mergeCell ref="K67:Q74"/>
    <mergeCell ref="C75:Q76"/>
    <mergeCell ref="C78:Q78"/>
    <mergeCell ref="C79:I79"/>
    <mergeCell ref="K79:Q79"/>
    <mergeCell ref="C55:I61"/>
    <mergeCell ref="K55:Q61"/>
    <mergeCell ref="C62:Q63"/>
    <mergeCell ref="C65:Q65"/>
    <mergeCell ref="C66:I66"/>
    <mergeCell ref="K66:Q66"/>
    <mergeCell ref="C43:I49"/>
    <mergeCell ref="K43:Q49"/>
    <mergeCell ref="C50:Q51"/>
    <mergeCell ref="C53:Q53"/>
    <mergeCell ref="C54:I54"/>
    <mergeCell ref="K54:Q54"/>
    <mergeCell ref="C30:I37"/>
    <mergeCell ref="K30:Q37"/>
    <mergeCell ref="C38:Q39"/>
    <mergeCell ref="C41:Q41"/>
    <mergeCell ref="C42:I42"/>
    <mergeCell ref="K42:Q42"/>
    <mergeCell ref="C23:Q24"/>
    <mergeCell ref="C25:Q26"/>
    <mergeCell ref="C28:Q28"/>
    <mergeCell ref="C29:I29"/>
    <mergeCell ref="K29:Q29"/>
    <mergeCell ref="C20:F20"/>
    <mergeCell ref="G20:I20"/>
    <mergeCell ref="K20:M20"/>
    <mergeCell ref="N20:Q20"/>
    <mergeCell ref="C21:F21"/>
    <mergeCell ref="G21:I21"/>
    <mergeCell ref="K21:M21"/>
    <mergeCell ref="N21:Q21"/>
    <mergeCell ref="C18:F18"/>
    <mergeCell ref="G18:I18"/>
    <mergeCell ref="K18:M18"/>
    <mergeCell ref="N18:Q18"/>
    <mergeCell ref="C19:F19"/>
    <mergeCell ref="G19:I19"/>
    <mergeCell ref="K19:M19"/>
    <mergeCell ref="N19:Q19"/>
    <mergeCell ref="C16:F16"/>
    <mergeCell ref="G16:I16"/>
    <mergeCell ref="K16:M16"/>
    <mergeCell ref="N16:Q16"/>
    <mergeCell ref="C17:F17"/>
    <mergeCell ref="G17:I17"/>
    <mergeCell ref="K17:M17"/>
    <mergeCell ref="N17:Q17"/>
    <mergeCell ref="C11:E11"/>
    <mergeCell ref="F11:H11"/>
    <mergeCell ref="I11:Q11"/>
    <mergeCell ref="C12:Q13"/>
    <mergeCell ref="C15:Q15"/>
    <mergeCell ref="C9:E9"/>
    <mergeCell ref="F9:H9"/>
    <mergeCell ref="I9:Q9"/>
    <mergeCell ref="C10:E10"/>
    <mergeCell ref="F10:H10"/>
    <mergeCell ref="I10:Q10"/>
    <mergeCell ref="C6:E6"/>
    <mergeCell ref="F6:I6"/>
    <mergeCell ref="K6:M6"/>
    <mergeCell ref="N6:Q6"/>
    <mergeCell ref="C7:E7"/>
    <mergeCell ref="F7:Q7"/>
    <mergeCell ref="C2:Q2"/>
    <mergeCell ref="C3:Q3"/>
    <mergeCell ref="C4:F4"/>
    <mergeCell ref="G4:I4"/>
    <mergeCell ref="K4:Q4"/>
  </mergeCells>
  <phoneticPr fontId="2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00_투자판단</vt:lpstr>
      <vt:lpstr>01_가정</vt:lpstr>
      <vt:lpstr>02_단위경제</vt:lpstr>
      <vt:lpstr>03_월별손익</vt:lpstr>
      <vt:lpstr>04_재고현금</vt:lpstr>
      <vt:lpstr>05_100일검증</vt:lpstr>
      <vt:lpstr>06_시장경쟁</vt:lpstr>
      <vt:lpstr>07_근거원문</vt:lpstr>
      <vt:lpstr>08_실측입력</vt:lpstr>
      <vt:lpstr>09_계산검증</vt:lpstr>
      <vt:lpstr>10_린캔버스작성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hwaneui park</cp:lastModifiedBy>
  <dcterms:created xsi:type="dcterms:W3CDTF">2026-10-28T15:02:47Z</dcterms:created>
  <dcterms:modified xsi:type="dcterms:W3CDTF">2026-10-28T15:02:47Z</dcterms:modified>
</cp:coreProperties>
</file>